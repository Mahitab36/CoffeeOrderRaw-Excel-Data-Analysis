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ch2\Desktop\"/>
    </mc:Choice>
  </mc:AlternateContent>
  <xr:revisionPtr revIDLastSave="0" documentId="13_ncr:1_{C8BAC500-6DAD-41CD-9E72-96692ED76519}" xr6:coauthVersionLast="47" xr6:coauthVersionMax="47" xr10:uidLastSave="{00000000-0000-0000-0000-000000000000}"/>
  <bookViews>
    <workbookView xWindow="-110" yWindow="-110" windowWidth="19420" windowHeight="10300" xr2:uid="{00000000-000D-0000-FFFF-FFFF00000000}"/>
  </bookViews>
  <sheets>
    <sheet name="Dashboard" sheetId="23" r:id="rId1"/>
    <sheet name="Total Sales" sheetId="19" r:id="rId2"/>
    <sheet name="Country Bar Chart" sheetId="20" r:id="rId3"/>
    <sheet name="Top 5"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<sst xmlns="http://schemas.openxmlformats.org/spreadsheetml/2006/main" count="11105" uniqueCount="6222">
  <si>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</si>
  <si>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</si>
  <si>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</si>
  <si>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</si>
  <si>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</si>
  <si>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</si>
  <si>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</si>
  <si>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</si>
  <si>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</si>
  <si>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</si>
  <si>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</si>
  <si>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</si>
  <si>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</si>
  <si>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</si>
  <si>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</si>
  <si>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</si>
  <si>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</si>
  <si>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</si>
  <si>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</si>
  <si>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</si>
  <si>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</si>
  <si>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</si>
  <si>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</si>
  <si>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</si>
  <si>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</si>
  <si>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</si>
  <si>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</si>
  <si>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</si>
  <si>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</si>
  <si>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</si>
  <si>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</si>
  <si>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</si>
  <si>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</si>
  <si>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</si>
  <si>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</si>
  <si>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</si>
  <si>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</si>
  <si>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</si>
  <si>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</si>
  <si>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</si>
  <si>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</si>
  <si>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</si>
  <si>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</si>
  <si>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</si>
  <si>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</si>
  <si>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</si>
  <si>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</si>
  <si>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</si>
  <si>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</si>
  <si>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</si>
  <si>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</si>
  <si>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</si>
  <si>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</si>
  <si>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</si>
  <si>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</si>
  <si>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</si>
  <si>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</si>
  <si>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</si>
  <si>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</si>
  <si>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</si>
  <si>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</si>
  <si>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</si>
  <si>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</si>
  <si>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</si>
  <si>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</si>
  <si>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</si>
  <si>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</si>
  <si>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</si>
  <si>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</si>
  <si>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</si>
  <si>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</si>
  <si>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</si>
  <si>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</si>
  <si>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</si>
  <si>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</si>
  <si>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</si>
  <si>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</si>
  <si>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</si>
  <si>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</si>
  <si>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</si>
  <si>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</si>
  <si>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</si>
  <si>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</si>
  <si>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</si>
  <si>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</si>
  <si>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</si>
  <si>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</si>
  <si>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</si>
  <si>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</si>
  <si>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</si>
  <si>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</si>
  <si>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</si>
  <si>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</si>
  <si>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</si>
  <si>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</si>
  <si>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</si>
  <si>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</si>
  <si>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</si>
  <si>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</si>
  <si>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</si>
  <si>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</si>
  <si>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</si>
  <si>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</si>
  <si>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</si>
  <si>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</si>
  <si>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</si>
  <si>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</si>
  <si>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</si>
  <si>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</si>
  <si>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</si>
  <si>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</si>
  <si>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</si>
  <si>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</si>
  <si>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</si>
  <si>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</si>
  <si>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</si>
  <si>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</si>
  <si>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</si>
  <si>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</si>
  <si>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</si>
  <si>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</si>
  <si>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</si>
  <si>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</si>
  <si>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</si>
  <si>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</si>
  <si>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</si>
  <si>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</si>
  <si>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</si>
  <si>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</si>
  <si>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</si>
  <si>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</si>
  <si>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</si>
  <si>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</si>
  <si>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</si>
  <si>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</si>
  <si>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</si>
  <si>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</si>
  <si>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</si>
  <si>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</si>
  <si>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</si>
  <si>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</si>
  <si>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</si>
  <si>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</si>
  <si>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</si>
  <si>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</si>
  <si>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</si>
  <si>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</si>
  <si>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</si>
  <si>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</si>
  <si>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</si>
  <si>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</si>
  <si>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</si>
  <si>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</si>
  <si>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</si>
  <si>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</si>
  <si>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</si>
  <si>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</si>
  <si>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</si>
  <si>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</si>
  <si>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</si>
  <si>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</si>
  <si>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</si>
  <si>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</si>
  <si>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</si>
  <si>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</si>
  <si>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</si>
  <si>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</si>
  <si>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</si>
  <si>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</si>
  <si>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</si>
  <si>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</si>
  <si>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</si>
  <si>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</si>
  <si>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</si>
  <si>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</si>
  <si>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</si>
  <si>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</si>
  <si>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</si>
  <si>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</si>
  <si>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</si>
  <si>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</si>
  <si>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</si>
  <si>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</si>
  <si>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</si>
  <si>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</si>
  <si>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</si>
  <si>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</si>
  <si>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</si>
  <si>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</si>
  <si>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</si>
  <si>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</si>
  <si>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</si>
  <si>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</si>
  <si>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</si>
  <si>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</si>
  <si>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</si>
  <si>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</si>
  <si>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</si>
  <si>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</si>
  <si>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</si>
  <si>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</si>
  <si>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</si>
  <si>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</si>
  <si>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</si>
  <si>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</si>
  <si>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</si>
  <si>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</si>
  <si>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</si>
  <si>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</si>
  <si>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</si>
  <si>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</si>
  <si>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</si>
  <si>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</si>
  <si>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</si>
  <si>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</si>
  <si>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</si>
  <si>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</si>
  <si>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</si>
  <si>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</si>
  <si>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</si>
  <si>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</si>
  <si>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</si>
  <si>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</si>
  <si>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</si>
  <si>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</si>
  <si>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</si>
  <si>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</si>
  <si>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</si>
  <si>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</si>
  <si>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</si>
  <si>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</si>
  <si>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</si>
  <si>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</si>
  <si>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</si>
  <si>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</si>
  <si>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</si>
  <si>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</si>
  <si>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</si>
  <si>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</si>
  <si>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</si>
  <si>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</si>
  <si>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</si>
  <si>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</si>
  <si>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</si>
  <si>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</si>
  <si>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</si>
  <si>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</si>
  <si>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</si>
  <si>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</si>
  <si>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</si>
  <si>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</si>
  <si>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</si>
  <si>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</si>
  <si>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</si>
  <si>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</si>
  <si>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</si>
  <si>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</si>
  <si>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</si>
  <si>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</si>
  <si>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</si>
  <si>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</si>
  <si>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</si>
  <si>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</si>
  <si>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</si>
  <si>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</si>
  <si>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</si>
  <si>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</si>
  <si>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</si>
  <si>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</si>
  <si>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</si>
  <si>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</si>
  <si>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</si>
  <si>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</si>
  <si>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</si>
  <si>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</si>
  <si>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</si>
  <si>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</si>
  <si>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</si>
  <si>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</si>
  <si>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</si>
  <si>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</si>
  <si>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</si>
  <si>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</si>
  <si>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</si>
  <si>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</si>
  <si>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</si>
  <si>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</si>
  <si>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</si>
  <si>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</si>
  <si>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</si>
  <si>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</si>
  <si>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</si>
  <si>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</si>
  <si>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</si>
  <si>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</si>
  <si>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</si>
  <si>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</si>
  <si>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</si>
  <si>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</si>
  <si>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</si>
  <si>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</si>
  <si>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</si>
  <si>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</si>
  <si>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</si>
  <si>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</si>
  <si>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</si>
  <si>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</si>
  <si>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</si>
  <si>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</si>
  <si>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</si>
  <si>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</si>
  <si>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</si>
  <si>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</si>
  <si>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</si>
  <si>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</si>
  <si>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</si>
  <si>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</si>
  <si>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</si>
  <si>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</si>
  <si>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</si>
  <si>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</si>
  <si>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</si>
  <si>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</si>
  <si>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</si>
  <si>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</si>
  <si>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</si>
  <si>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</si>
  <si>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</si>
  <si>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</si>
  <si>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</si>
  <si>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</si>
  <si>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</si>
  <si>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</si>
  <si>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</si>
  <si>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</si>
  <si>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</si>
  <si>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</si>
  <si>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</si>
  <si>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</si>
  <si>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</si>
  <si>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</si>
  <si>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</si>
  <si>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</si>
  <si>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</si>
  <si>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</si>
  <si>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</si>
  <si>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</si>
  <si>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</si>
  <si>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</si>
  <si>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</si>
  <si>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</si>
  <si>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</si>
  <si>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</si>
  <si>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</si>
  <si>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</si>
  <si>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</si>
  <si>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</si>
  <si>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</si>
  <si>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</si>
  <si>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</si>
  <si>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</si>
  <si>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</si>
  <si>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</si>
  <si>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</si>
  <si>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</si>
  <si>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</si>
  <si>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</si>
  <si>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</si>
  <si>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</si>
  <si>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</si>
  <si>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</si>
  <si>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</si>
  <si>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</si>
  <si>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</si>
  <si>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</si>
  <si>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</si>
  <si>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</si>
  <si>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</si>
  <si>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</si>
  <si>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</si>
  <si>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</si>
  <si>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</si>
  <si>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</si>
  <si>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</si>
  <si>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</si>
  <si>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</si>
  <si>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</si>
  <si>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</si>
  <si>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</si>
  <si>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</si>
  <si>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</si>
  <si>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</si>
  <si>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</si>
  <si>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</si>
  <si>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</si>
  <si>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</si>
  <si>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</si>
  <si>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</si>
  <si>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</si>
  <si>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</si>
  <si>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</si>
  <si>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</si>
  <si>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</si>
  <si>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</si>
  <si>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</si>
  <si>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</si>
  <si>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</si>
  <si>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</si>
  <si>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</si>
  <si>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</si>
  <si>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</si>
  <si>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</si>
  <si>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</si>
  <si>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</si>
  <si>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</si>
  <si>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</si>
  <si>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</si>
  <si>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</si>
  <si>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</si>
  <si>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</si>
  <si>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</si>
  <si>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</si>
  <si>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</si>
  <si>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</si>
  <si>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</si>
  <si>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</si>
  <si>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</si>
  <si>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</si>
  <si>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</si>
  <si>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</si>
  <si>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</si>
  <si>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</si>
  <si>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</si>
  <si>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</si>
  <si>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</si>
  <si>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</si>
  <si>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</si>
  <si>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</si>
  <si>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</si>
  <si>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</si>
  <si>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</si>
  <si>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</si>
  <si>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</si>
  <si>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</si>
  <si>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</si>
  <si>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</si>
  <si>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</si>
  <si>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</si>
  <si>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</si>
  <si>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</si>
  <si>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</si>
  <si>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</si>
  <si>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</si>
  <si>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</si>
  <si>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</si>
  <si>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</si>
  <si>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</si>
  <si>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</si>
  <si>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</si>
  <si>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</si>
  <si>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</si>
  <si>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</si>
  <si>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</si>
  <si>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</si>
  <si>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</si>
  <si>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</si>
  <si>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</si>
  <si>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</si>
  <si>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</si>
  <si>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</si>
  <si>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</si>
  <si>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</si>
  <si>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</si>
  <si>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</si>
  <si>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</si>
  <si>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</si>
  <si>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</si>
  <si>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</si>
  <si>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</si>
  <si>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</si>
  <si>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</si>
  <si>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</si>
  <si>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</si>
  <si>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</si>
  <si>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</si>
  <si>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</si>
  <si>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</si>
  <si>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</si>
  <si>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</si>
  <si>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</si>
  <si>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</si>
  <si>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</si>
  <si>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</si>
  <si>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</si>
  <si>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</si>
  <si>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</si>
  <si>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</si>
  <si>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</si>
  <si>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</si>
  <si>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</si>
  <si>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</si>
  <si>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</si>
  <si>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</si>
  <si>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</si>
  <si>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</si>
  <si>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</si>
  <si>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</si>
  <si>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</si>
  <si>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</si>
  <si>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</si>
  <si>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</si>
  <si>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</si>
  <si>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</si>
  <si>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</si>
  <si>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</si>
  <si>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</si>
  <si>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</si>
  <si>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</si>
  <si>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</si>
  <si>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</si>
  <si>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</si>
  <si>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</si>
  <si>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</si>
  <si>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</si>
  <si>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</si>
  <si>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</si>
  <si>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</si>
  <si>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</si>
  <si>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</si>
  <si>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</si>
  <si>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</si>
  <si>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</si>
  <si>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</si>
  <si>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</si>
  <si>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</si>
  <si>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</si>
  <si>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</si>
  <si>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</si>
  <si>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</si>
  <si>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</si>
  <si>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</si>
  <si>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</si>
  <si>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</si>
  <si>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</si>
  <si>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</si>
  <si>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</si>
  <si>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</si>
  <si>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</si>
  <si>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</si>
  <si>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</si>
  <si>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</si>
  <si>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</si>
  <si>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</si>
  <si>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</si>
  <si>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</si>
  <si>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</si>
  <si>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</si>
  <si>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</si>
  <si>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</si>
  <si>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</si>
  <si>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</si>
  <si>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</si>
  <si>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</si>
  <si>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</si>
  <si>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</si>
  <si>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</si>
  <si>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</si>
  <si>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</si>
  <si>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</si>
  <si>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</si>
  <si>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</si>
  <si>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</si>
  <si>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</si>
  <si>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</si>
  <si>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</si>
  <si>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</si>
  <si>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</si>
  <si>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</si>
  <si>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</si>
  <si>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</si>
  <si>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</si>
  <si>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</si>
  <si>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</si>
  <si>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</si>
  <si>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</si>
  <si>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</si>
  <si>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</si>
  <si>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</si>
  <si>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</si>
  <si>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</si>
  <si>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</si>
  <si>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</si>
  <si>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</si>
  <si>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</si>
  <si>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</si>
  <si>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</si>
  <si>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</si>
  <si>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</si>
  <si>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</si>
  <si>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</si>
  <si>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</si>
  <si>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</si>
  <si>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</si>
  <si>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</si>
  <si>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</si>
  <si>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</si>
  <si>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</si>
  <si>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</si>
  <si>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</si>
  <si>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</si>
  <si>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</si>
  <si>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</si>
  <si>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</si>
  <si>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</si>
  <si>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</si>
  <si>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</si>
  <si>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</si>
  <si>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</si>
  <si>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</si>
  <si>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</si>
  <si>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</si>
  <si>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</si>
  <si>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</si>
  <si>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</si>
  <si>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</si>
  <si>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</si>
  <si>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</si>
  <si>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</si>
  <si>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</si>
  <si>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</si>
  <si>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</si>
  <si>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</si>
  <si>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</si>
  <si>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</si>
  <si>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</si>
  <si>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</si>
  <si>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</si>
  <si>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</si>
  <si>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</si>
  <si>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</si>
  <si>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</si>
  <si>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</si>
  <si>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</si>
  <si>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</si>
  <si>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</si>
  <si>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</si>
  <si>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</si>
  <si>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</si>
  <si>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</si>
  <si>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</si>
  <si>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</si>
  <si>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</si>
  <si>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</si>
  <si>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</si>
  <si>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</si>
  <si>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</si>
  <si>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</si>
  <si>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</si>
  <si>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</si>
  <si>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</si>
  <si>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</si>
  <si>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</si>
  <si>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</si>
  <si>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</si>
  <si>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</si>
  <si>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</si>
  <si>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</si>
  <si>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</si>
  <si>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</si>
  <si>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</si>
  <si>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</si>
  <si>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</si>
  <si>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</si>
  <si>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</si>
  <si>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</si>
  <si>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</si>
  <si>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</si>
  <si>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</si>
  <si>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</si>
  <si>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</si>
  <si>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</si>
  <si>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</si>
  <si>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</si>
  <si>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</si>
  <si>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</si>
  <si>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</si>
  <si>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</si>
  <si>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</si>
  <si>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</si>
  <si>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</si>
  <si>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</si>
  <si>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</si>
  <si>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</si>
  <si>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</si>
  <si>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</si>
  <si>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</si>
  <si>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</si>
  <si>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</si>
  <si>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</si>
  <si>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</si>
  <si>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</si>
  <si>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</si>
  <si>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</si>
  <si>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</si>
  <si>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</si>
  <si>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</si>
  <si>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</si>
  <si>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</si>
  <si>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</si>
  <si>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</si>
  <si>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</si>
  <si>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</si>
  <si>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</si>
  <si>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</si>
  <si>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</si>
  <si>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</si>
  <si>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</si>
  <si>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</si>
  <si>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</si>
  <si>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</si>
  <si>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</si>
  <si>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</si>
  <si>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</si>
  <si>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</si>
  <si>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</si>
  <si>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</si>
  <si>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</si>
  <si>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</si>
  <si>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</si>
  <si>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</si>
  <si>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</si>
  <si>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</si>
  <si>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</si>
  <si>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</si>
  <si>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</si>
  <si>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</si>
  <si>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</si>
  <si>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</si>
  <si>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</si>
  <si>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</si>
  <si>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</si>
  <si>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</si>
  <si>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</si>
  <si>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</si>
  <si>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</si>
  <si>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</si>
  <si>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</si>
  <si>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</si>
  <si>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</si>
  <si>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</si>
  <si>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</si>
  <si>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</si>
  <si>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</si>
  <si>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</si>
  <si>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</si>
  <si>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</si>
  <si>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</si>
  <si>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</si>
  <si>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</si>
  <si>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</si>
  <si>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</si>
  <si>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</si>
  <si>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</si>
  <si>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</si>
  <si>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</si>
  <si>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</si>
  <si>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</si>
  <si>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</si>
  <si>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</si>
  <si>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</si>
  <si>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</si>
  <si>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</si>
  <si>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</si>
  <si>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</si>
  <si>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</si>
  <si>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</si>
  <si>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</si>
  <si>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</si>
  <si>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</si>
  <si>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</si>
  <si>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</si>
  <si>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</si>
  <si>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</si>
  <si>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</si>
  <si>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</si>
  <si>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</si>
  <si>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</si>
  <si>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</si>
  <si>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</si>
  <si>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</si>
  <si>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</si>
  <si>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</si>
  <si>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</si>
  <si>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</si>
  <si>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</si>
  <si>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</si>
  <si>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</si>
  <si>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</si>
  <si>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</si>
  <si>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</si>
  <si>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</si>
  <si>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</si>
  <si>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</si>
  <si>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</si>
  <si>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</si>
  <si>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</si>
  <si>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</si>
  <si>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</si>
  <si>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</si>
  <si>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</si>
  <si>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</si>
  <si>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</si>
  <si>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</si>
  <si>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</si>
  <si>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</si>
  <si>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</si>
  <si>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</si>
  <si>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</si>
  <si>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</si>
  <si>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</si>
  <si>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</si>
  <si>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</si>
  <si>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</si>
  <si>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</si>
  <si>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</si>
  <si>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</si>
  <si>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</si>
  <si>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</si>
  <si>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</si>
  <si>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</si>
  <si>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</si>
  <si>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</si>
  <si>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</si>
  <si>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</si>
  <si>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</si>
  <si>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</si>
  <si>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</si>
  <si>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</si>
  <si>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</si>
  <si>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</si>
  <si>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</si>
  <si>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</si>
  <si>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</si>
  <si>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</si>
  <si>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</si>
  <si>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</si>
  <si>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</si>
  <si>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</si>
  <si>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</si>
  <si>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</si>
  <si>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</si>
  <si>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</si>
  <si>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</si>
  <si>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</si>
  <si>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</si>
  <si>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</si>
  <si>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</si>
  <si>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</si>
  <si>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</si>
  <si>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</si>
  <si>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</si>
  <si>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</si>
  <si>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</si>
  <si>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</si>
  <si>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</si>
  <si>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</si>
  <si>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</si>
  <si>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</si>
  <si>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</si>
  <si>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</si>
  <si>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</si>
  <si>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</si>
  <si>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</si>
  <si>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</si>
  <si>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</si>
  <si>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</si>
  <si>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</si>
  <si>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</si>
  <si>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</si>
  <si>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</si>
  <si>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</si>
  <si>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</si>
  <si>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</si>
  <si>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</si>
  <si>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</si>
  <si>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</si>
  <si>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</si>
  <si>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</si>
  <si>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</si>
  <si>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</si>
  <si>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</si>
  <si>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</si>
  <si>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</si>
  <si>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</si>
  <si>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</si>
  <si>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</si>
  <si>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</si>
  <si>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</si>
  <si>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</si>
  <si>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</si>
  <si>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</si>
  <si>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</si>
  <si>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</si>
  <si>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</si>
  <si>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</si>
  <si>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</si>
  <si>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</si>
  <si>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</si>
  <si>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</si>
  <si>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</si>
  <si>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</si>
  <si>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</si>
  <si>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</si>
  <si>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</si>
  <si>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</si>
  <si>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</si>
  <si>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</si>
  <si>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</si>
  <si>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</si>
  <si>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</si>
  <si>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</si>
  <si>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</si>
  <si>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</si>
  <si>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</si>
  <si>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</si>
  <si>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</si>
  <si>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</si>
  <si>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</si>
  <si>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</si>
  <si>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</si>
  <si>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</si>
  <si>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</si>
  <si>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</si>
  <si>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</si>
  <si>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</si>
  <si>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</si>
  <si>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</si>
  <si>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</si>
  <si>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</si>
  <si>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</si>
  <si>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</si>
  <si>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</si>
  <si>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</si>
  <si>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</si>
  <si>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</si>
  <si>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</si>
  <si>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</si>
  <si>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</si>
  <si>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</si>
  <si>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</si>
  <si>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</si>
  <si>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</si>
  <si>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</si>
  <si>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</si>
  <si>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</si>
  <si>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</si>
  <si>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</si>
  <si>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</si>
  <si>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</si>
  <si>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</si>
  <si>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</si>
  <si>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</si>
  <si>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</si>
  <si>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</si>
  <si>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</si>
  <si>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</si>
  <si>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</si>
  <si>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</si>
  <si>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</si>
  <si>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</si>
  <si>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</si>
  <si>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</si>
  <si>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</si>
  <si>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</si>
  <si>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</si>
  <si>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</si>
  <si>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</si>
  <si>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</si>
  <si>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</si>
  <si>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</si>
  <si>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</si>
  <si>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</si>
  <si>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</si>
  <si>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</si>
  <si>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</si>
  <si>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</si>
  <si>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</si>
  <si>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</si>
  <si>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</si>
  <si>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</si>
  <si>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</si>
  <si>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</si>
  <si>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</si>
  <si>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</si>
  <si>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</si>
  <si>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</si>
  <si>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</si>
  <si>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</si>
  <si>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</si>
  <si>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</si>
  <si>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</si>
  <si>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</si>
  <si>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</si>
  <si>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</si>
  <si>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</si>
  <si>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</si>
  <si>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</si>
  <si>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</si>
  <si>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</si>
  <si>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</si>
  <si>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</si>
  <si>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</si>
  <si>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</si>
  <si>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</si>
  <si>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</si>
  <si>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</si>
  <si>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</si>
  <si>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</si>
  <si>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</si>
  <si>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</si>
  <si>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</si>
  <si>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</si>
  <si>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</si>
  <si>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</si>
  <si>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</si>
  <si>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</si>
  <si>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</si>
  <si>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</si>
  <si>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</si>
  <si>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</si>
  <si>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</si>
  <si>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</si>
  <si>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</si>
  <si>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</si>
  <si>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</si>
  <si>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</si>
  <si>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</si>
  <si>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</si>
  <si>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</si>
  <si>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</si>
  <si>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</si>
  <si>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</si>
  <si>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</si>
  <si>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</si>
  <si>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</si>
  <si>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</si>
  <si>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</si>
  <si>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</si>
  <si>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</si>
  <si>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</si>
  <si>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</si>
  <si>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</si>
  <si>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</si>
  <si>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</si>
  <si>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</si>
  <si>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</si>
  <si>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</si>
  <si>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</si>
  <si>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</si>
  <si>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</si>
  <si>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</si>
  <si>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</si>
  <si>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</si>
  <si>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</si>
  <si>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</si>
  <si>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</si>
  <si>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</si>
  <si>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</si>
  <si>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</si>
  <si>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</si>
  <si>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</si>
  <si>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</si>
  <si>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</si>
  <si>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</si>
  <si>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</si>
  <si>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</si>
  <si>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</si>
  <si>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</si>
  <si>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</si>
  <si>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</si>
  <si>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</si>
  <si>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</si>
  <si>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</si>
  <si>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</si>
  <si>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</si>
  <si>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</si>
  <si>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</si>
  <si>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</si>
  <si>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</si>
  <si>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</si>
  <si>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</si>
  <si>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</si>
  <si>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</si>
  <si>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</si>
  <si>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</si>
  <si>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</si>
  <si>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</si>
  <si>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</si>
  <si>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</si>
  <si>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</si>
  <si>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</si>
  <si>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</si>
  <si>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</si>
  <si>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</si>
  <si>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</si>
  <si>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</si>
  <si>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</si>
  <si>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</si>
  <si>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</si>
  <si>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</si>
  <si>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</si>
  <si>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</si>
  <si>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</si>
  <si>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</si>
  <si>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</si>
  <si>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</si>
  <si>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</si>
  <si>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</si>
  <si>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</si>
  <si>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</si>
  <si>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</si>
  <si>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</si>
  <si>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</si>
  <si>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</si>
  <si>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</si>
  <si>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</si>
  <si>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</si>
  <si>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</si>
  <si>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</si>
  <si>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</si>
  <si>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</si>
  <si>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</si>
  <si>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</si>
  <si>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</si>
  <si>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</si>
  <si>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</si>
  <si>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</si>
  <si>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</si>
  <si>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</si>
  <si>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</si>
  <si>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</si>
  <si>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</si>
  <si>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</si>
  <si>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</si>
  <si>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</si>
  <si>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</si>
  <si>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</si>
  <si>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</si>
  <si>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</si>
  <si>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</si>
  <si>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</si>
  <si>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</si>
  <si>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</si>
  <si>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</si>
  <si>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</si>
  <si>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</si>
  <si>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</si>
  <si>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</si>
  <si>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</si>
  <si>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</si>
  <si>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</si>
  <si>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</si>
  <si>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</si>
  <si>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</si>
  <si>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</si>
  <si>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</si>
  <si>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</si>
  <si>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</si>
  <si>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</si>
  <si>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</si>
  <si>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</si>
  <si>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</si>
  <si>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</si>
  <si>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</si>
  <si>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</si>
  <si>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</si>
  <si>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</si>
  <si>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</si>
  <si>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</si>
  <si>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</si>
  <si>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</si>
  <si>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</si>
  <si>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</si>
  <si>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</si>
  <si>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</si>
  <si>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</si>
  <si>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</si>
  <si>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</si>
  <si>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</si>
  <si>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</si>
  <si>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</si>
  <si>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</si>
  <si>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</si>
  <si>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</si>
  <si>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</si>
  <si>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</si>
  <si>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</si>
  <si>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</si>
  <si>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</si>
  <si>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</si>
  <si>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</si>
  <si>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</si>
  <si>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</si>
  <si>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</si>
  <si>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</si>
  <si>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</si>
  <si>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</si>
  <si>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</si>
  <si>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</si>
  <si>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</si>
  <si>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</si>
  <si>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</si>
  <si>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</si>
  <si>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</si>
  <si>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</si>
  <si>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</si>
  <si>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</si>
  <si>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</si>
  <si>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</si>
  <si>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</si>
  <si>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</si>
  <si>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</si>
  <si>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</si>
  <si>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</si>
  <si>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</si>
  <si>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</si>
  <si>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</si>
  <si>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</si>
  <si>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</si>
  <si>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</si>
  <si>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</si>
  <si>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</si>
  <si>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</si>
  <si>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</si>
  <si>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</si>
  <si>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</si>
  <si>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</si>
  <si>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</si>
  <si>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</si>
  <si>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</si>
  <si>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</si>
  <si>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</si>
  <si>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</si>
  <si>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</si>
  <si>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</si>
  <si>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</si>
  <si>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</si>
  <si>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</si>
  <si>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</si>
  <si>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</si>
  <si>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</si>
  <si>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</si>
  <si>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</si>
  <si>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</si>
  <si>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</si>
  <si>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</si>
  <si>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</si>
  <si>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</si>
  <si>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</si>
  <si>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</si>
  <si>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</si>
  <si>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</si>
  <si>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</si>
  <si>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</si>
  <si>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</si>
  <si>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</si>
  <si>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</si>
  <si>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</si>
  <si>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</si>
  <si>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</si>
  <si>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</si>
  <si>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</si>
  <si>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</si>
  <si>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</si>
  <si>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</si>
  <si>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</si>
  <si>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</si>
  <si>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</si>
  <si>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</si>
  <si>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</si>
  <si>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</si>
  <si>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</si>
  <si>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</si>
  <si>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</si>
  <si>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</si>
  <si>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</si>
  <si>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</si>
  <si>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</si>
  <si>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</si>
  <si>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</si>
  <si>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</si>
  <si>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</si>
  <si>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</si>
  <si>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</si>
  <si>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</si>
  <si>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</si>
  <si>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</si>
  <si>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</si>
  <si>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</si>
  <si>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</si>
  <si>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</si>
  <si>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</si>
  <si>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</si>
  <si>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</si>
  <si>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</si>
  <si>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</si>
  <si>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</si>
  <si>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</si>
  <si>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</si>
  <si>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</si>
  <si>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</si>
  <si>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</si>
  <si>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</si>
  <si>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</si>
  <si>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</si>
  <si>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</si>
  <si>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</si>
  <si>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</si>
  <si>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</si>
  <si>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</si>
  <si>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</si>
  <si>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</si>
  <si>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</si>
  <si>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</si>
  <si>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</si>
  <si>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</si>
  <si>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</si>
  <si>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</si>
  <si>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</si>
  <si>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</si>
  <si>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</si>
  <si>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</si>
  <si>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</si>
  <si>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</si>
  <si>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</si>
  <si>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</si>
  <si>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</si>
  <si>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</si>
  <si>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</si>
  <si>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</si>
  <si>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</si>
  <si>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</si>
  <si>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</si>
  <si>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</si>
  <si>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</si>
  <si>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</si>
  <si>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</si>
  <si>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</si>
  <si>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</si>
  <si>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</si>
  <si>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</si>
  <si>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</si>
  <si>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</si>
  <si>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</si>
  <si>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</si>
  <si>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</si>
  <si>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</si>
  <si>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</si>
  <si>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</si>
  <si>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</si>
  <si>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</si>
  <si>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</si>
  <si>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</si>
  <si>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</si>
  <si>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</si>
  <si>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</si>
  <si>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</si>
  <si>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</si>
  <si>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</si>
  <si>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</si>
  <si>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</si>
  <si>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</si>
  <si>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</si>
  <si>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</si>
  <si>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</si>
  <si>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</si>
  <si>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</si>
  <si>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</si>
  <si>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</si>
  <si>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</si>
  <si>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</si>
  <si>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</si>
  <si>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</si>
  <si>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</si>
  <si>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</si>
  <si>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</si>
  <si>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</si>
  <si>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</si>
  <si>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</si>
  <si>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</si>
  <si>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</si>
  <si>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</si>
  <si>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</si>
  <si>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</si>
  <si>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</si>
  <si>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</si>
  <si>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</si>
  <si>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</si>
  <si>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</si>
  <si>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</si>
  <si>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</si>
  <si>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</si>
  <si>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</si>
  <si>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</si>
  <si>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</si>
  <si>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</si>
  <si>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</si>
  <si>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</si>
  <si>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</si>
  <si>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</si>
  <si>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</si>
  <si>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</si>
  <si>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</si>
  <si>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</si>
  <si>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</si>
  <si>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</si>
  <si>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</si>
  <si>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</si>
  <si>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</si>
  <si>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</si>
  <si>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</si>
  <si>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</si>
  <si>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</si>
  <si>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</si>
  <si>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</si>
  <si>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</si>
  <si>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</si>
  <si>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</si>
  <si>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</si>
  <si>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</si>
  <si>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</si>
  <si>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</si>
  <si>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</si>
  <si>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</si>
  <si>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</si>
  <si>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</si>
  <si>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</si>
  <si>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</si>
  <si>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</si>
  <si>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</si>
  <si>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</si>
  <si>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</si>
  <si>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</si>
  <si>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</si>
  <si>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</si>
  <si>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</si>
  <si>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</si>
  <si>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</si>
  <si>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</si>
  <si>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</si>
  <si>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</si>
  <si>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</si>
  <si>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</si>
  <si>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</si>
  <si>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</si>
  <si>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</si>
  <si>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</si>
  <si>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</si>
  <si>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</si>
  <si>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</si>
  <si>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</si>
  <si>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</si>
  <si>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</si>
  <si>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</si>
  <si>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</si>
  <si>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</si>
  <si>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</si>
  <si>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</si>
  <si>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</si>
  <si>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</si>
  <si>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</si>
  <si>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</si>
  <si>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</si>
  <si>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</si>
  <si>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</si>
  <si>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</si>
  <si>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</si>
  <si>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</si>
  <si>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</si>
  <si>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</si>
  <si>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</si>
  <si>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</si>
  <si>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</si>
  <si>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</si>
  <si>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</si>
  <si>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</si>
  <si>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</si>
  <si>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</si>
  <si>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</si>
  <si>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</si>
  <si>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</si>
  <si>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</si>
  <si>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</si>
  <si>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</si>
  <si>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</si>
  <si>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</si>
  <si>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</si>
  <si>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</si>
  <si>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</si>
  <si>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</si>
  <si>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</si>
  <si>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</si>
  <si>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</si>
  <si>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</si>
  <si>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</si>
  <si>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</si>
  <si>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</si>
  <si>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</si>
  <si>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</si>
  <si>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</si>
  <si>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</si>
  <si>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</si>
  <si>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</si>
  <si>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</si>
  <si>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</si>
  <si>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</si>
  <si>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</si>
  <si>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</si>
  <si>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</si>
  <si>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</si>
  <si>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</si>
  <si>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</si>
  <si>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</si>
  <si>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</si>
  <si>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</si>
  <si>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</si>
  <si>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</si>
  <si>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</si>
  <si>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</si>
  <si>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</si>
  <si>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</si>
  <si>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</si>
  <si>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</si>
  <si>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</si>
  <si>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</si>
  <si>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</si>
  <si>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</si>
  <si>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</si>
  <si>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</si>
  <si>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</si>
  <si>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</si>
  <si>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</si>
  <si>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</si>
  <si>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</si>
  <si>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</si>
  <si>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</si>
  <si>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</si>
  <si>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</si>
  <si>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</si>
  <si>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</si>
  <si>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</si>
  <si>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</si>
  <si>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</si>
  <si>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</si>
  <si>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</si>
  <si>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</si>
  <si>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</si>
  <si>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</si>
  <si>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</si>
  <si>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</si>
  <si>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</si>
  <si>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</si>
  <si>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</si>
  <si>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</si>
  <si>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</si>
  <si>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</si>
  <si>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</si>
  <si>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</si>
  <si>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</si>
  <si>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</si>
  <si>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</si>
  <si>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</si>
  <si>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</si>
  <si>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</si>
  <si>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</si>
  <si>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</si>
  <si>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</si>
  <si>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</si>
  <si>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</si>
  <si>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</si>
  <si>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</si>
  <si>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</si>
  <si>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</si>
  <si>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</si>
  <si>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</si>
  <si>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</si>
  <si>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</si>
  <si>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</si>
  <si>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</si>
  <si>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</si>
  <si>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</si>
  <si>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</si>
  <si>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</si>
  <si>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</si>
  <si>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</si>
  <si>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</si>
  <si>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</si>
  <si>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</si>
  <si>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</si>
  <si>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</si>
  <si>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</si>
  <si>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</si>
  <si>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</si>
  <si>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</si>
  <si>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</si>
  <si>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</si>
  <si>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</si>
  <si>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</si>
  <si>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</si>
  <si>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</si>
  <si>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</si>
  <si>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</si>
  <si>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</si>
  <si>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</si>
  <si>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</si>
  <si>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</si>
  <si>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</si>
  <si>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</si>
  <si>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</si>
  <si>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</si>
  <si>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</si>
  <si>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</si>
  <si>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</si>
  <si>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</si>
  <si>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</si>
  <si>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</si>
  <si>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</si>
  <si>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</si>
  <si>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</si>
  <si>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</si>
  <si>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</si>
  <si>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</si>
  <si>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</si>
  <si>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</si>
  <si>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</si>
  <si>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</si>
  <si>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</si>
  <si>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</si>
  <si>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</si>
  <si>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</si>
  <si>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</si>
  <si>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</si>
  <si>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</si>
  <si>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</si>
  <si>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</si>
  <si>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</si>
  <si>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</si>
  <si>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</si>
  <si>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</si>
  <si>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</si>
  <si>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</si>
  <si>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</si>
  <si>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</si>
  <si>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</si>
  <si>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</si>
  <si>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</si>
  <si>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</si>
  <si>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</si>
  <si>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</si>
  <si>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</si>
  <si>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</si>
  <si>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</si>
  <si>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</si>
  <si>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</si>
  <si>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</si>
  <si>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</si>
  <si>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</si>
  <si>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</si>
  <si>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</si>
  <si>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</si>
  <si>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</si>
  <si>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</si>
  <si>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</si>
  <si>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</si>
  <si>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</si>
  <si>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</si>
  <si>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</si>
  <si>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</si>
  <si>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</si>
  <si>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</si>
  <si>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</si>
  <si>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</si>
  <si>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</si>
  <si>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</si>
  <si>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</si>
  <si>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</si>
  <si>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</si>
  <si>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</si>
  <si>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</si>
  <si>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</si>
  <si>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</si>
  <si>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</si>
  <si>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</si>
  <si>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</si>
  <si>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</si>
  <si>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</si>
  <si>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</si>
  <si>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</si>
  <si>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</si>
  <si>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</si>
  <si>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</si>
  <si>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</si>
  <si>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</si>
  <si>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</si>
  <si>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</si>
  <si>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</si>
  <si>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</si>
  <si>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</si>
  <si>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</si>
  <si>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</si>
  <si>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</si>
  <si>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</si>
  <si>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</si>
  <si>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</si>
  <si>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</si>
  <si>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</si>
  <si>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</si>
  <si>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</si>
  <si>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</si>
  <si>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</si>
  <si>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</si>
  <si>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</si>
  <si>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</si>
  <si>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</si>
  <si>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</si>
  <si>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</si>
  <si>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</si>
  <si>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</si>
  <si>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</si>
  <si>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</si>
  <si>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</si>
  <si>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</si>
  <si>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</si>
  <si>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</si>
  <si>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</si>
  <si>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</si>
  <si>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</si>
  <si>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</si>
  <si>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</si>
  <si>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</si>
  <si>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</si>
  <si>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</si>
  <si>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</si>
  <si>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</si>
  <si>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</si>
  <si>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</si>
  <si>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</si>
  <si>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</si>
  <si>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</si>
  <si>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</si>
  <si>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</si>
  <si>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</si>
  <si>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</si>
  <si>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</si>
  <si>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</si>
  <si>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</si>
  <si>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</si>
  <si>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</si>
  <si>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</si>
  <si>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</si>
  <si>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</si>
  <si>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</si>
  <si>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</si>
  <si>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</si>
  <si>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</si>
  <si>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</si>
  <si>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</si>
  <si>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</si>
  <si>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</si>
  <si>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</si>
  <si>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</si>
  <si>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</si>
  <si>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</si>
  <si>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</si>
  <si>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</si>
  <si>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</si>
  <si>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</si>
  <si>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</si>
  <si>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</si>
  <si>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</si>
  <si>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</si>
  <si>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</si>
  <si>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</si>
  <si>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</si>
  <si>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</si>
  <si>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</si>
  <si>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</si>
  <si>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</si>
  <si>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</si>
  <si>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</si>
  <si>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</si>
  <si>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</si>
  <si>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</si>
  <si>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</si>
  <si>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</si>
  <si>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</si>
  <si>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</si>
  <si>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</si>
  <si>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</si>
  <si>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</si>
  <si>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</si>
  <si>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</si>
  <si>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</si>
  <si>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</si>
  <si>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</si>
  <si>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</si>
  <si>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</si>
  <si>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</si>
  <si>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</si>
  <si>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</si>
  <si>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</si>
  <si>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</si>
  <si>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</si>
  <si>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</si>
  <si>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</si>
  <si>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</si>
  <si>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</si>
  <si>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</si>
  <si>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</si>
  <si>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</si>
  <si>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</si>
  <si>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</si>
  <si>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</si>
  <si>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</si>
  <si>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</si>
  <si>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</si>
  <si>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</si>
  <si>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</si>
  <si>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</si>
  <si>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</si>
  <si>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</si>
  <si>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</si>
  <si>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</si>
  <si>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</si>
  <si>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</si>
  <si>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</si>
  <si>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</si>
  <si>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</si>
  <si>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</si>
  <si>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</si>
  <si>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</si>
  <si>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</si>
  <si>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</si>
  <si>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</si>
  <si>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</si>
  <si>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</si>
  <si>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</si>
  <si>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</si>
  <si>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</si>
  <si>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</si>
  <si>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</si>
  <si>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</si>
  <si>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</si>
  <si>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</si>
  <si>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</si>
  <si>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</si>
  <si>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</si>
  <si>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</si>
  <si>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</si>
  <si>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</si>
  <si>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</si>
  <si>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</si>
  <si>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</si>
  <si>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</si>
  <si>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</si>
  <si>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</si>
  <si>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</si>
  <si>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</si>
  <si>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</si>
  <si>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</si>
  <si>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</si>
  <si>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</si>
  <si>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</si>
  <si>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</si>
  <si>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</si>
  <si>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</si>
  <si>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</si>
  <si>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</si>
  <si>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</si>
  <si>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</si>
  <si>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</si>
  <si>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</si>
  <si>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</si>
  <si>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</si>
  <si>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</si>
  <si>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</si>
  <si>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</si>
  <si>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</si>
  <si>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</si>
  <si>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</si>
  <si>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</si>
  <si>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</si>
  <si>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</si>
  <si>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</si>
  <si>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</si>
  <si>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</si>
  <si>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</si>
  <si>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</si>
  <si>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</si>
  <si>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</si>
  <si>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</si>
  <si>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</si>
  <si>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</si>
  <si>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</si>
  <si>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</si>
  <si>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</si>
  <si>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</si>
  <si>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</si>
  <si>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</si>
  <si>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</si>
  <si>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</si>
  <si>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</si>
  <si>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</si>
  <si>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</si>
  <si>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</si>
  <si>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</si>
  <si>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</si>
  <si>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</si>
  <si>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</si>
  <si>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</si>
  <si>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</si>
  <si>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</si>
  <si>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</si>
  <si>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</si>
  <si>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</si>
  <si>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</si>
  <si>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</si>
  <si>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</si>
  <si>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</si>
  <si>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</si>
  <si>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</si>
  <si>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</si>
  <si>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</si>
  <si>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</si>
  <si>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</si>
  <si>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</si>
  <si>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</si>
  <si>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</si>
  <si>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</si>
  <si>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</si>
  <si>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</si>
  <si>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</si>
  <si>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</si>
  <si>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</si>
  <si>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</si>
  <si>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</si>
  <si>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</si>
  <si>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</si>
  <si>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</si>
  <si>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</si>
  <si>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</si>
  <si>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</si>
  <si>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</si>
  <si>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</si>
  <si>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</si>
  <si>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</si>
  <si>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</si>
  <si>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</si>
  <si>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</si>
  <si>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</si>
  <si>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</si>
  <si>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</si>
  <si>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</si>
  <si>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</si>
  <si>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</si>
  <si>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</si>
  <si>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</si>
  <si>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</si>
  <si>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</si>
  <si>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</si>
  <si>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</si>
  <si>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</si>
  <si>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</si>
  <si>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</si>
  <si>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</si>
  <si>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</si>
  <si>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</si>
  <si>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</si>
  <si>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</si>
  <si>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</si>
  <si>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</si>
  <si>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</si>
  <si>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</si>
  <si>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</si>
  <si>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</si>
  <si>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</si>
  <si>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</si>
  <si>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</si>
  <si>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</si>
  <si>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</si>
  <si>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</si>
  <si>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</si>
  <si>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</si>
  <si>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</si>
  <si>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</si>
  <si>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</si>
  <si>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</si>
  <si>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</si>
  <si>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</si>
  <si>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</si>
  <si>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</si>
  <si>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</si>
  <si>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</si>
  <si>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</si>
  <si>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</si>
  <si>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</si>
  <si>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</si>
  <si>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</si>
  <si>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</si>
  <si>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</si>
  <si>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</si>
  <si>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</si>
  <si>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</si>
  <si>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</si>
  <si>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</si>
  <si>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</si>
  <si>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</si>
  <si>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</si>
  <si>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</si>
  <si>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</si>
  <si>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</si>
  <si>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</si>
  <si>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</si>
  <si>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</si>
  <si>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</si>
  <si>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</si>
  <si>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</si>
  <si>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</si>
  <si>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</si>
  <si>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</si>
  <si>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</si>
  <si>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</si>
  <si>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</si>
  <si>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</si>
  <si>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</si>
  <si>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</si>
  <si>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</si>
  <si>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</si>
  <si>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</si>
  <si>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</si>
  <si>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</si>
  <si>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</si>
  <si>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</si>
  <si>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</si>
  <si>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</si>
  <si>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</si>
  <si>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</si>
  <si>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</si>
  <si>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</si>
  <si>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</si>
  <si>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</si>
  <si>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</si>
  <si>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</si>
  <si>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</si>
  <si>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</si>
  <si>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</si>
  <si>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</si>
  <si>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</si>
  <si>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</si>
  <si>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</si>
  <si>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</si>
  <si>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</si>
  <si>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</si>
  <si>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</si>
  <si>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</si>
  <si>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</si>
  <si>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</si>
  <si>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</si>
  <si>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</si>
  <si>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</si>
  <si>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</si>
  <si>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</si>
  <si>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</si>
  <si>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</si>
  <si>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</si>
  <si>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</si>
  <si>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</si>
  <si>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</si>
  <si>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</si>
  <si>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</si>
  <si>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</si>
  <si>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</si>
  <si>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</si>
  <si>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</si>
  <si>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</si>
  <si>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</si>
  <si>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</si>
  <si>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</si>
  <si>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</si>
  <si>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</si>
  <si>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</si>
  <si>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</si>
  <si>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</si>
  <si>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</si>
  <si>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</si>
  <si>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</si>
  <si>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</si>
  <si>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</si>
  <si>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</si>
  <si>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</si>
  <si>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</si>
  <si>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</si>
  <si>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</si>
  <si>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</si>
  <si>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</si>
  <si>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</si>
  <si>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</si>
  <si>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</si>
  <si>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</si>
  <si>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</si>
  <si>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</si>
  <si>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</si>
  <si>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</si>
  <si>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</si>
  <si>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</si>
  <si>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</si>
  <si>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</si>
  <si>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</si>
  <si>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</si>
  <si>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</si>
  <si>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</si>
  <si>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</si>
  <si>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</si>
  <si>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</si>
  <si>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</si>
  <si>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</si>
  <si>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</si>
  <si>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</si>
  <si>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</si>
  <si>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</si>
  <si>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</si>
  <si>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</si>
  <si>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</si>
  <si>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</si>
  <si>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</si>
  <si>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</si>
  <si>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</si>
  <si>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</si>
  <si>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</si>
  <si>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</si>
  <si>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</si>
  <si>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</si>
  <si>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</si>
  <si>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</si>
  <si>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</si>
  <si>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</si>
  <si>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</si>
  <si>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</si>
  <si>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</si>
  <si>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</si>
  <si>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</si>
  <si>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</si>
  <si>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</si>
  <si>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</si>
  <si>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</si>
  <si>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</si>
  <si>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</si>
  <si>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</si>
  <si>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</si>
  <si>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</si>
  <si>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</si>
  <si>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</si>
  <si>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</si>
  <si>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</si>
  <si>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</si>
  <si>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</si>
  <si>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</si>
  <si>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</si>
  <si>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</si>
  <si>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</si>
  <si>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</si>
  <si>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</si>
  <si>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</si>
  <si>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</si>
  <si>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</si>
  <si>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</si>
  <si>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</si>
  <si>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</si>
  <si>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</si>
  <si>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</si>
  <si>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</si>
  <si>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</si>
  <si>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</si>
  <si>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</si>
  <si>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</si>
  <si>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</si>
  <si>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</si>
  <si>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</si>
  <si>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</si>
  <si>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</si>
  <si>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</si>
  <si>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</si>
  <si>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</si>
  <si>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</si>
  <si>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</si>
  <si>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</si>
  <si>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</si>
  <si>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</si>
  <si>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</si>
  <si>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</si>
  <si>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</si>
  <si>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</si>
  <si>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</si>
  <si>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</si>
  <si>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</si>
  <si>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</si>
  <si>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</si>
  <si>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</si>
  <si>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</si>
  <si>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</si>
  <si>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</si>
  <si>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</si>
  <si>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</si>
  <si>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</si>
  <si>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</si>
  <si>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</si>
  <si>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</si>
  <si>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</si>
  <si>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</si>
  <si>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</si>
  <si>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</si>
  <si>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</si>
  <si>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</si>
  <si>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</si>
  <si>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</si>
  <si>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</si>
  <si>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</si>
  <si>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</si>
  <si>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</si>
  <si>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</si>
  <si>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</si>
  <si>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</si>
  <si>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</si>
  <si>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</si>
  <si>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</si>
  <si>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</si>
  <si>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</si>
  <si>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</si>
  <si>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</si>
  <si>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</si>
  <si>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</si>
  <si>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</si>
  <si>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</si>
  <si>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</si>
  <si>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</si>
  <si>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</si>
  <si>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</si>
  <si>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</si>
  <si>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</si>
  <si>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</si>
  <si>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</si>
  <si>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</si>
  <si>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</si>
  <si>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</si>
  <si>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</si>
  <si>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</si>
  <si>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</si>
  <si>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</si>
  <si>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</si>
  <si>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</si>
  <si>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</si>
  <si>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</si>
  <si>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</si>
  <si>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</si>
  <si>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</si>
  <si>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</si>
  <si>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</si>
  <si>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</si>
  <si>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</si>
  <si>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</si>
  <si>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</si>
  <si>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</si>
  <si>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</si>
  <si>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</si>
  <si>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</si>
  <si>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</si>
  <si>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</si>
  <si>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</si>
  <si>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</si>
  <si>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</si>
  <si>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</si>
  <si>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</si>
  <si>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</si>
  <si>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</si>
  <si>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</si>
  <si>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</si>
  <si>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</si>
  <si>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</si>
  <si>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</si>
  <si>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</si>
  <si>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</si>
  <si>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</si>
  <si>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</si>
  <si>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</si>
  <si>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</si>
  <si>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</si>
  <si>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</si>
  <si>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</si>
  <si>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</si>
  <si>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</si>
  <si>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</si>
  <si>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</si>
  <si>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</si>
  <si>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</si>
  <si>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</si>
  <si>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</si>
  <si>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</si>
  <si>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</si>
  <si>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</si>
  <si>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</si>
  <si>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</si>
  <si>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</si>
  <si>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</si>
  <si>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</si>
  <si>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</si>
  <si>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</si>
  <si>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</si>
  <si>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</si>
  <si>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</si>
  <si>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</si>
  <si>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</si>
  <si>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</si>
  <si>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</si>
  <si>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</si>
  <si>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</si>
  <si>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</si>
  <si>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</si>
  <si>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</si>
  <si>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</si>
  <si>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</si>
  <si>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</si>
  <si>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</si>
  <si>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</si>
  <si>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</si>
  <si>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</si>
  <si>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</si>
  <si>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</si>
  <si>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</si>
  <si>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</si>
  <si>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</si>
  <si>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</si>
  <si>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</si>
  <si>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</si>
  <si>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</si>
  <si>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</si>
  <si>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</si>
  <si>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</si>
  <si>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</si>
  <si>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</si>
  <si>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</si>
  <si>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</si>
  <si>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</si>
  <si>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</si>
  <si>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</si>
  <si>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</si>
  <si>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</si>
  <si>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</si>
  <si>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</si>
  <si>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</si>
  <si>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</si>
  <si>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</si>
  <si>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</si>
  <si>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</si>
  <si>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</si>
  <si>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</si>
  <si>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</si>
  <si>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</si>
  <si>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</si>
  <si>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</si>
  <si>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</si>
  <si>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</si>
  <si>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</si>
  <si>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</si>
  <si>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</si>
  <si>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</si>
  <si>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</si>
  <si>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</si>
  <si>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</si>
  <si>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</si>
  <si>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</si>
  <si>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</si>
  <si>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</si>
  <si>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</si>
  <si>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</si>
  <si>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</si>
  <si>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</si>
  <si>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</si>
  <si>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</si>
  <si>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</si>
  <si>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</si>
  <si>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</si>
  <si>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</si>
  <si>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</si>
  <si>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</si>
  <si>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</si>
  <si>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</si>
  <si>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</si>
  <si>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</si>
  <si>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</si>
  <si>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</si>
  <si>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</si>
  <si>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</si>
  <si>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</si>
  <si>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</si>
  <si>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</si>
  <si>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</si>
  <si>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</si>
  <si>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</si>
  <si>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</si>
  <si>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</si>
  <si>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</si>
  <si>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</si>
  <si>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</si>
  <si>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</si>
  <si>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</si>
  <si>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</si>
  <si>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</si>
  <si>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</si>
  <si>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</si>
  <si>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</si>
  <si>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</si>
  <si>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</si>
  <si>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</si>
  <si>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</si>
  <si>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</si>
  <si>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</si>
  <si>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</si>
  <si>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</si>
  <si>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</si>
  <si>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</si>
  <si>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</si>
  <si>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</si>
  <si>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</si>
  <si>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</si>
  <si>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</si>
  <si>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</si>
  <si>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</si>
  <si>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</si>
  <si>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</si>
  <si>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</si>
  <si>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</si>
  <si>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</si>
  <si>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</si>
  <si>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</si>
  <si>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</si>
  <si>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</si>
  <si>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</si>
  <si>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</si>
  <si>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</si>
  <si>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</si>
  <si>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</si>
  <si>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</si>
  <si>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</si>
  <si>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</si>
  <si>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</si>
  <si>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</si>
  <si>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</si>
  <si>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</si>
  <si>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</si>
  <si>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</si>
  <si>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</si>
  <si>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</si>
  <si>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</si>
  <si>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</si>
  <si>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</si>
  <si>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</si>
  <si>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</si>
  <si>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</si>
  <si>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</si>
  <si>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</si>
  <si>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</si>
  <si>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</si>
  <si>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</si>
  <si>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</si>
  <si>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</si>
  <si>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</si>
  <si>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</si>
  <si>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</si>
  <si>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</si>
  <si>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</si>
  <si>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</si>
  <si>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</si>
  <si>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</si>
  <si>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</si>
  <si>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</si>
  <si>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</si>
  <si>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</si>
  <si>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</si>
  <si>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</si>
  <si>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</si>
  <si>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</si>
  <si>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</si>
  <si>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</si>
  <si>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</si>
  <si>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</si>
  <si>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</si>
  <si>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</si>
  <si>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</si>
  <si>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</si>
  <si>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</si>
  <si>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</si>
  <si>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</si>
  <si>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</si>
  <si>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</si>
  <si>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</si>
  <si>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</si>
  <si>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</si>
  <si>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</si>
  <si>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</si>
  <si>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</si>
  <si>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</si>
  <si>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</si>
  <si>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</si>
  <si>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</si>
  <si>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</si>
  <si>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</si>
  <si>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</si>
  <si>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</si>
  <si>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</si>
  <si>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</si>
  <si>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</si>
  <si>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</si>
  <si>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</si>
  <si>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</si>
  <si>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</si>
  <si>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</si>
  <si>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</si>
  <si>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</si>
  <si>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</si>
  <si>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</si>
  <si>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</si>
  <si>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</si>
  <si>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</si>
  <si>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</si>
  <si>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</si>
  <si>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</si>
  <si>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</si>
  <si>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</si>
  <si>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</si>
  <si>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</si>
  <si>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</si>
  <si>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</si>
  <si>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</si>
  <si>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</si>
  <si>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</si>
  <si>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</si>
  <si>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</si>
  <si>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</si>
  <si>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</si>
  <si>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</si>
  <si>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</si>
  <si>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</si>
  <si>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</si>
  <si>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</si>
  <si>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</si>
  <si>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</si>
  <si>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</si>
  <si>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</si>
  <si>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</si>
  <si>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</si>
  <si>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</si>
  <si>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</si>
  <si>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</si>
  <si>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</si>
  <si>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</si>
  <si>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</si>
  <si>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</si>
  <si>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</si>
  <si>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</si>
  <si>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</si>
  <si>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</si>
  <si>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</si>
  <si>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</si>
  <si>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</si>
  <si>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</si>
  <si>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</si>
  <si>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</si>
  <si>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</si>
  <si>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</si>
  <si>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</si>
  <si>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</si>
  <si>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</si>
  <si>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</si>
  <si>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</si>
  <si>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</si>
  <si>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</si>
  <si>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</si>
  <si>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</si>
  <si>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</si>
  <si>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</si>
  <si>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</si>
  <si>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</si>
  <si>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</si>
  <si>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</si>
  <si>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</si>
  <si>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</si>
  <si>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</si>
  <si>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</si>
  <si>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</si>
  <si>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</si>
  <si>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</si>
  <si>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</si>
  <si>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</si>
  <si>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</si>
  <si>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</si>
  <si>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</si>
  <si>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</si>
  <si>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</si>
  <si>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</si>
  <si>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</si>
  <si>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</si>
  <si>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</si>
  <si>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</si>
  <si>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</si>
  <si>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</si>
  <si>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</si>
  <si>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</si>
  <si>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</si>
  <si>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</si>
  <si>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</si>
  <si>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</si>
  <si>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</si>
  <si>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</si>
  <si>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</si>
  <si>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</si>
  <si>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</si>
  <si>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</si>
  <si>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</si>
  <si>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</si>
  <si>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</si>
  <si>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</si>
  <si>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</si>
  <si>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</si>
  <si>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</si>
  <si>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</si>
  <si>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</si>
  <si>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</si>
  <si>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</si>
  <si>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</si>
  <si>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</si>
  <si>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</si>
  <si>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</si>
  <si>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</si>
  <si>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</si>
  <si>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</si>
  <si>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</si>
  <si>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</si>
  <si>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</si>
  <si>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</si>
  <si>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</si>
  <si>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</si>
  <si>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</si>
  <si>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</si>
  <si>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</si>
  <si>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</si>
  <si>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</si>
  <si>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</si>
  <si>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</si>
  <si>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</si>
  <si>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</si>
  <si>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</si>
  <si>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</si>
  <si>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</si>
  <si>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</si>
  <si>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</si>
  <si>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</si>
  <si>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</si>
  <si>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</si>
  <si>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</si>
  <si>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</si>
  <si>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</si>
  <si>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</si>
  <si>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</si>
  <si>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</si>
  <si>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</si>
  <si>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</si>
  <si>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</si>
  <si>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</si>
  <si>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</si>
  <si>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</si>
  <si>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</si>
  <si>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</si>
  <si>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</si>
  <si>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</si>
  <si>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</si>
  <si>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</si>
  <si>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</si>
  <si>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</si>
  <si>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</si>
  <si>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</si>
  <si>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</si>
  <si>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</si>
  <si>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</si>
  <si>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</si>
  <si>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</si>
  <si>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</si>
  <si>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</si>
  <si>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</si>
  <si>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</si>
  <si>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</si>
  <si>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</si>
  <si>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</si>
  <si>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</si>
  <si>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</si>
  <si>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</si>
  <si>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</si>
  <si>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</si>
  <si>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</si>
  <si>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</si>
  <si>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</si>
  <si>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</si>
  <si>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</si>
  <si>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</si>
  <si>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</si>
  <si>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</si>
  <si>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</si>
  <si>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</si>
  <si>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</si>
  <si>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</si>
  <si>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</si>
  <si>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</si>
  <si>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</si>
  <si>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</si>
  <si>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</si>
  <si>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</si>
  <si>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</si>
  <si>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</si>
  <si>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</si>
  <si>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</si>
  <si>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</si>
  <si>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</si>
  <si>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</si>
  <si>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</si>
  <si>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</si>
  <si>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</si>
  <si>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</si>
  <si>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</si>
  <si>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</si>
  <si>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</si>
  <si>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</si>
  <si>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</si>
  <si>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</si>
  <si>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</si>
  <si>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</si>
  <si>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</si>
  <si>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</si>
  <si>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</si>
  <si>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</si>
  <si>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</si>
  <si>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</si>
  <si>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</si>
  <si>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</si>
  <si>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</si>
  <si>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</si>
  <si>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</si>
  <si>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</si>
  <si>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</si>
  <si>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</si>
  <si>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</si>
  <si>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</si>
  <si>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</si>
  <si>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</si>
  <si>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</si>
  <si>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</si>
  <si>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</si>
  <si>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</si>
  <si>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</si>
  <si>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</si>
  <si>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</si>
  <si>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</si>
  <si>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</si>
  <si>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</si>
  <si>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</si>
  <si>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</si>
  <si>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</si>
  <si>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</si>
  <si>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</si>
  <si>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</si>
  <si>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</si>
  <si>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</si>
  <si>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</si>
  <si>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</si>
  <si>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</si>
  <si>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</si>
  <si>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</si>
  <si>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</si>
  <si>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</si>
  <si>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</si>
  <si>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</si>
  <si>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</si>
  <si>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</si>
  <si>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</si>
  <si>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</si>
  <si>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</si>
  <si>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</si>
  <si>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</si>
  <si>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</si>
  <si>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</si>
  <si>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</si>
  <si>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</si>
  <si>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</si>
  <si>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</si>
  <si>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</si>
  <si>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</si>
  <si>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</si>
  <si>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</si>
  <si>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</si>
  <si>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</si>
  <si>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</si>
  <si>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</si>
  <si>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</si>
  <si>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</si>
  <si>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</si>
  <si>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</si>
  <si>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</si>
  <si>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</si>
  <si>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</si>
  <si>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</si>
  <si>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</si>
  <si>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</si>
  <si>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</si>
  <si>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</si>
  <si>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</si>
  <si>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</si>
  <si>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</si>
  <si>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</si>
  <si>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</si>
  <si>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</si>
  <si>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</si>
  <si>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</si>
  <si>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</si>
  <si>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</si>
  <si>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</si>
  <si>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</si>
  <si>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</si>
  <si>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</si>
  <si>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</si>
  <si>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</si>
  <si>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</si>
  <si>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</si>
  <si>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</si>
  <si>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</si>
  <si>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</si>
  <si>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</si>
  <si>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</si>
  <si>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</si>
  <si>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</si>
  <si>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</si>
  <si>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</si>
  <si>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</si>
  <si>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</si>
  <si>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</si>
  <si>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</si>
  <si>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</si>
  <si>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</si>
  <si>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</si>
  <si>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</si>
  <si>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</si>
  <si>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</si>
  <si>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</si>
  <si>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</si>
  <si>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</si>
  <si>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</si>
  <si>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</si>
  <si>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</si>
  <si>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</si>
  <si>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</si>
  <si>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</si>
  <si>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</si>
  <si>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</si>
  <si>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</si>
  <si>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</si>
  <si>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</si>
  <si>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</si>
  <si>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</si>
  <si>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</si>
  <si>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</si>
  <si>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</si>
  <si>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</si>
  <si>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</si>
  <si>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</si>
  <si>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</si>
  <si>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</si>
  <si>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</si>
  <si>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</si>
  <si>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</si>
  <si>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</si>
  <si>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</si>
  <si>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</si>
  <si>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</si>
  <si>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</si>
  <si>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</si>
  <si>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</si>
  <si>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</si>
  <si>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</si>
  <si>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</si>
  <si>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</si>
  <si>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</si>
  <si>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</si>
  <si>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</si>
  <si>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</si>
  <si>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</si>
  <si>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</si>
  <si>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</si>
  <si>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</si>
  <si>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</si>
  <si>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</si>
  <si>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</si>
  <si>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</si>
  <si>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</si>
  <si>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</si>
  <si>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</si>
  <si>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</si>
  <si>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</si>
  <si>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</si>
  <si>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</si>
  <si>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</si>
  <si>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</si>
  <si>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</si>
  <si>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</si>
  <si>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</si>
  <si>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</si>
  <si>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</si>
  <si>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</si>
  <si>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</si>
  <si>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</si>
  <si>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</si>
  <si>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</si>
  <si>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</si>
  <si>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</si>
  <si>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</si>
  <si>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</si>
  <si>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</si>
  <si>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</si>
  <si>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</si>
  <si>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</si>
  <si>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</si>
  <si>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</si>
  <si>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</si>
  <si>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</si>
  <si>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</si>
  <si>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</si>
  <si>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</si>
  <si>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</si>
  <si>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</si>
  <si>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</si>
  <si>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</si>
  <si>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</si>
  <si>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</si>
  <si>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</si>
  <si>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</si>
  <si>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</si>
  <si>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</si>
  <si>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</si>
  <si>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</si>
  <si>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</si>
  <si>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</si>
  <si>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</si>
  <si>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</si>
  <si>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</si>
  <si>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</si>
  <si>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</si>
  <si>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</si>
  <si>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</si>
  <si>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</si>
  <si>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</si>
  <si>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</si>
  <si>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</si>
  <si>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</si>
  <si>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</si>
  <si>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</si>
  <si>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</si>
  <si>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</si>
  <si>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</si>
  <si>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</si>
  <si>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</si>
  <si>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</si>
  <si>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</si>
  <si>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</si>
  <si>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</si>
  <si>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</si>
  <si>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</si>
  <si>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</si>
  <si>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</si>
  <si>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</si>
  <si>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</si>
  <si>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</si>
  <si>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</si>
  <si>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</si>
  <si>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</si>
  <si>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</si>
  <si>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</si>
  <si>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</si>
  <si>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</si>
  <si>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</si>
  <si>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</si>
  <si>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</si>
  <si>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</si>
  <si>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</si>
  <si>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</si>
  <si>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</si>
  <si>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</si>
  <si>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</si>
  <si>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</si>
  <si>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</si>
  <si>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</si>
  <si>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</si>
  <si>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</si>
  <si>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</si>
  <si>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</si>
  <si>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</si>
  <si>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</si>
  <si>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</si>
  <si>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</si>
  <si>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</si>
  <si>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</si>
  <si>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</si>
  <si>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</si>
  <si>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</si>
  <si>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</si>
  <si>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</si>
  <si>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</si>
  <si>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</si>
  <si>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</si>
  <si>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</si>
  <si>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</si>
  <si>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</si>
  <si>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</si>
  <si>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</si>
  <si>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</si>
  <si>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</si>
  <si>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</si>
  <si>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</si>
  <si>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</si>
  <si>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</si>
  <si>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</si>
  <si>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</si>
  <si>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</si>
  <si>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</si>
  <si>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</si>
  <si>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</si>
  <si>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</si>
  <si>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</si>
  <si>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</si>
  <si>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</si>
  <si>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</si>
  <si>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</si>
  <si>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</si>
  <si>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</si>
  <si>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</si>
  <si>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</si>
  <si>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</si>
  <si>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</si>
  <si>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</si>
  <si>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</si>
  <si>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</si>
  <si>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</si>
  <si>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</si>
  <si>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</si>
  <si>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</si>
  <si>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</si>
  <si>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</si>
  <si>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</si>
  <si>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</si>
  <si>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</si>
  <si>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</si>
  <si>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</si>
  <si>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</si>
  <si>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</si>
  <si>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</si>
  <si>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</si>
  <si>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</si>
  <si>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</si>
  <si>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</si>
  <si>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</si>
  <si>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</si>
  <si>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</si>
  <si>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</si>
  <si>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</si>
  <si>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</si>
  <si>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</si>
  <si>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</si>
  <si>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</si>
  <si>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</si>
  <si>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</si>
  <si>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</si>
  <si>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</si>
  <si>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</si>
  <si>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</si>
  <si>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</si>
  <si>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</si>
  <si>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</si>
  <si>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</si>
  <si>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</si>
  <si>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</si>
  <si>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</si>
  <si>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</si>
  <si>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</si>
  <si>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</si>
  <si>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</si>
  <si>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</si>
  <si>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</si>
  <si>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</si>
  <si>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</si>
  <si>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</si>
  <si>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</si>
  <si>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</si>
  <si>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</si>
  <si>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</si>
  <si>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</si>
  <si>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</si>
  <si>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</si>
  <si>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</si>
  <si>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</si>
  <si>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</si>
  <si>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</si>
  <si>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</si>
  <si>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</si>
  <si>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</si>
  <si>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</si>
  <si>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</si>
  <si>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</si>
  <si>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</si>
  <si>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</si>
  <si>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</si>
  <si>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</si>
  <si>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</si>
  <si>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</si>
  <si>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</si>
  <si>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</si>
  <si>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</si>
  <si>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</si>
  <si>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</si>
  <si>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</si>
  <si>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</si>
  <si>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</si>
  <si>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</si>
  <si>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</si>
  <si>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</si>
  <si>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</si>
  <si>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</si>
  <si>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</si>
  <si>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</si>
  <si>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</si>
  <si>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</si>
  <si>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</si>
  <si>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</si>
  <si>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</si>
  <si>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</si>
  <si>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</si>
  <si>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</si>
  <si>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</si>
  <si>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</si>
  <si>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</si>
  <si>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</si>
  <si>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</si>
  <si>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</si>
  <si>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</si>
  <si>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</si>
  <si>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</si>
  <si>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</si>
  <si>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</si>
  <si>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</si>
  <si>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</si>
  <si>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</si>
  <si>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</si>
  <si>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</si>
  <si>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</si>
  <si>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</si>
  <si>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</si>
  <si>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</si>
  <si>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</si>
  <si>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</si>
  <si>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</si>
  <si>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</si>
  <si>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</si>
  <si>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</si>
  <si>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</si>
  <si>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</si>
  <si>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</si>
  <si>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</si>
  <si>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</si>
  <si>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</si>
  <si>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</si>
  <si>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</si>
  <si>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</si>
  <si>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</si>
  <si>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</si>
  <si>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</si>
  <si>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</si>
  <si>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</si>
  <si>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</si>
  <si>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</si>
  <si>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</si>
  <si>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</si>
  <si>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</si>
  <si>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</si>
  <si>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</si>
  <si>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</si>
  <si>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</si>
  <si>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</si>
  <si>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</si>
  <si>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</si>
  <si>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</si>
  <si>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</si>
  <si>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</si>
  <si>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</si>
  <si>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</si>
  <si>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</si>
  <si>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</si>
  <si>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</si>
  <si>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</si>
  <si>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</si>
  <si>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</si>
  <si>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</si>
  <si>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</si>
  <si>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</si>
  <si>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</si>
  <si>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</si>
  <si>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</si>
  <si>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</si>
  <si>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</si>
  <si>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</si>
  <si>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</si>
  <si>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</si>
  <si>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</si>
  <si>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</si>
  <si>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</si>
  <si>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</si>
  <si>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</si>
  <si>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</si>
  <si>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</si>
  <si>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</si>
  <si>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</si>
  <si>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</si>
  <si>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</si>
  <si>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</si>
  <si>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</si>
  <si>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</si>
  <si>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</si>
  <si>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</si>
  <si>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</si>
  <si>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</si>
  <si>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</si>
  <si>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</si>
  <si>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</si>
  <si>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</si>
  <si>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</si>
  <si>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</si>
  <si>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</si>
  <si>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</si>
  <si>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</si>
  <si>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</si>
  <si>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</si>
  <si>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</si>
  <si>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</si>
  <si>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</si>
  <si>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</si>
  <si>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</si>
  <si>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</si>
  <si>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</si>
  <si>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</si>
  <si>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</si>
  <si>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</si>
  <si>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</si>
  <si>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</si>
  <si>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</si>
  <si>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</si>
  <si>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</si>
  <si>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</si>
  <si>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</si>
  <si>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</si>
  <si>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</si>
  <si>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</si>
  <si>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</si>
  <si>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</si>
  <si>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</si>
  <si>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</si>
  <si>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</si>
  <si>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</si>
  <si>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</si>
  <si>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</si>
  <si>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</si>
  <si>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</si>
  <si>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</si>
  <si>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</si>
  <si>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</si>
  <si>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</si>
  <si>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</si>
  <si>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</si>
  <si>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</si>
  <si>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</si>
  <si>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</si>
  <si>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</si>
  <si>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</si>
  <si>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</si>
  <si>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</si>
  <si>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</si>
  <si>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</si>
  <si>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</si>
  <si>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</si>
  <si>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</si>
  <si>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</si>
  <si>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</si>
  <si>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</si>
  <si>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</si>
  <si>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</si>
  <si>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</si>
  <si>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</si>
  <si>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</si>
  <si>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</si>
  <si>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</si>
  <si>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</si>
  <si>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</si>
  <si>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</si>
  <si>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</si>
  <si>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</si>
  <si>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</si>
  <si>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</si>
  <si>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</si>
  <si>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</si>
  <si>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</si>
  <si>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</si>
  <si>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</si>
  <si>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</si>
  <si>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</si>
  <si>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</si>
  <si>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</si>
  <si>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</si>
  <si>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</si>
  <si>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</si>
  <si>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</si>
  <si>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</si>
  <si>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</si>
  <si>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</si>
  <si>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</si>
  <si>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</si>
  <si>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</si>
  <si>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</si>
  <si>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</si>
  <si>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</si>
  <si>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</si>
  <si>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</si>
  <si>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</si>
  <si>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</si>
  <si>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</si>
  <si>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</si>
  <si>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</si>
  <si>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</si>
  <si>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</si>
  <si>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</si>
  <si>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</si>
  <si>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</si>
  <si>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</si>
  <si>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</si>
  <si>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</si>
  <si>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</si>
  <si>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</si>
  <si>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</si>
  <si>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</si>
  <si>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</si>
  <si>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</si>
  <si>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</si>
  <si>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</si>
  <si>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</si>
  <si>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</si>
  <si>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</si>
  <si>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</si>
  <si>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</si>
  <si>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</si>
  <si>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</si>
  <si>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</si>
  <si>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</si>
  <si>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</si>
  <si>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</si>
  <si>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</si>
  <si>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</si>
  <si>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</si>
  <si>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</si>
  <si>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</si>
  <si>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</si>
  <si>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</si>
  <si>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</si>
  <si>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</si>
  <si>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</si>
  <si>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</si>
  <si>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</si>
  <si>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</si>
  <si>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</si>
  <si>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</si>
  <si>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</si>
  <si>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</si>
  <si>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</si>
  <si>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</si>
  <si>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</si>
  <si>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</si>
  <si>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</si>
  <si>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</si>
  <si>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</si>
  <si>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</si>
  <si>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</si>
  <si>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</si>
  <si>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</si>
  <si>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</si>
  <si>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</si>
  <si>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</si>
  <si>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</si>
  <si>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</si>
  <si>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</si>
  <si>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</si>
  <si>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</si>
  <si>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</si>
  <si>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</si>
  <si>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</si>
  <si>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</si>
  <si>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</si>
  <si>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</si>
  <si>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</si>
  <si>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</si>
  <si>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</si>
  <si>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</si>
  <si>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</si>
  <si>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</si>
  <si>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</si>
  <si>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</si>
  <si>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</si>
  <si>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</si>
  <si>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</si>
  <si>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</si>
  <si>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</si>
  <si>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</si>
  <si>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</si>
  <si>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</si>
  <si>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</si>
  <si>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</si>
  <si>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</si>
  <si>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</si>
  <si>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</si>
  <si>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</si>
  <si>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</si>
  <si>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</si>
  <si>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</si>
  <si>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</si>
  <si>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</si>
  <si>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</si>
  <si>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</si>
  <si>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</si>
  <si>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</si>
  <si>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</si>
  <si>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</si>
  <si>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</si>
  <si>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</si>
  <si>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</si>
  <si>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</si>
  <si>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</si>
  <si>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</si>
  <si>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</si>
  <si>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</si>
  <si>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</si>
  <si>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</si>
  <si>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</si>
  <si>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</si>
  <si>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</si>
  <si>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</si>
  <si>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</si>
  <si>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</si>
  <si>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</si>
  <si>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</si>
  <si>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</si>
  <si>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</si>
  <si>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</si>
  <si>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</si>
  <si>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</si>
  <si>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</si>
  <si>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</si>
  <si>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</si>
  <si>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</si>
  <si>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</si>
  <si>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</si>
  <si>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</si>
  <si>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</si>
  <si>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</si>
  <si>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</si>
  <si>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</si>
  <si>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</si>
  <si>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</si>
  <si>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</si>
  <si>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</si>
  <si>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</si>
  <si>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</si>
  <si>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</si>
  <si>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</si>
  <si>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</si>
  <si>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</si>
  <si>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</si>
  <si>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</si>
  <si>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</si>
  <si>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</si>
  <si>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</si>
  <si>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</si>
  <si>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</si>
  <si>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</si>
  <si>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</si>
  <si>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</si>
  <si>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</si>
  <si>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</si>
  <si>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</si>
  <si>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</si>
  <si>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</si>
  <si>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</si>
  <si>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</si>
  <si>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</si>
  <si>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</si>
  <si>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</si>
  <si>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</si>
  <si>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</si>
  <si>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</si>
  <si>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</si>
  <si>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</si>
  <si>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</si>
  <si>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</si>
  <si>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</si>
  <si>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</si>
  <si>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</si>
  <si>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</si>
  <si>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</si>
  <si>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</si>
  <si>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</si>
  <si>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</si>
  <si>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</si>
  <si>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</si>
  <si>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</si>
  <si>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</si>
  <si>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</si>
  <si>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</si>
  <si>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</si>
  <si>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</si>
  <si>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</si>
  <si>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</si>
  <si>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</si>
  <si>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</si>
  <si>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</si>
  <si>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</si>
  <si>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</si>
  <si>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</si>
  <si>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</si>
  <si>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</si>
  <si>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</si>
  <si>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</si>
  <si>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</si>
  <si>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</si>
  <si>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</si>
  <si>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</si>
  <si>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</si>
  <si>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</si>
  <si>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</si>
  <si>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</si>
  <si>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</si>
  <si>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</si>
  <si>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</si>
  <si>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</si>
  <si>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</si>
  <si>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</si>
  <si>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</si>
  <si>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</si>
  <si>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</si>
  <si>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</si>
  <si>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</si>
  <si>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</si>
  <si>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</si>
  <si>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</si>
  <si>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</si>
  <si>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</si>
  <si>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</si>
  <si>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</si>
  <si>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</si>
  <si>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</si>
  <si>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</si>
  <si>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</si>
  <si>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</si>
  <si>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</si>
  <si>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</si>
  <si>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</si>
  <si>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</si>
  <si>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</si>
  <si>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</si>
  <si>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</si>
  <si>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</si>
  <si>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</si>
  <si>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</si>
  <si>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</si>
  <si>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</si>
  <si>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</si>
  <si>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</si>
  <si>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</si>
  <si>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</si>
  <si>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</si>
  <si>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</si>
  <si>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</si>
  <si>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</si>
  <si>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</si>
  <si>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</si>
  <si>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</si>
  <si>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</si>
  <si>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</si>
  <si>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</si>
  <si>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</si>
  <si>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</si>
  <si>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</si>
  <si>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</si>
  <si>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</si>
  <si>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</si>
  <si>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</si>
  <si>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</si>
  <si>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</si>
  <si>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</si>
  <si>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</si>
  <si>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</si>
  <si>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</si>
  <si>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</si>
  <si>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</si>
  <si>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</si>
  <si>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</si>
  <si>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</si>
  <si>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</si>
  <si>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</si>
  <si>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</si>
  <si>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</si>
  <si>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</si>
  <si>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</si>
  <si>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</si>
  <si>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</si>
  <si>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</si>
  <si>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</si>
  <si>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</si>
  <si>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</si>
  <si>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</si>
  <si>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</si>
  <si>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</si>
  <si>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</si>
  <si>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</si>
  <si>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</si>
  <si>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</si>
  <si>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</si>
  <si>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</si>
  <si>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</si>
  <si>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</si>
  <si>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</si>
  <si>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</si>
  <si>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</si>
  <si>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</si>
  <si>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</si>
  <si>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</si>
  <si>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</si>
  <si>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</si>
  <si>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</si>
  <si>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</si>
  <si>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</si>
  <si>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</si>
  <si>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</si>
  <si>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</si>
  <si>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</si>
  <si>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</si>
  <si>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</si>
  <si>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</si>
  <si>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</si>
  <si>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</si>
  <si>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</si>
  <si>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</si>
  <si>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</si>
  <si>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</si>
  <si>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</si>
  <si>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</si>
  <si>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</si>
  <si>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</si>
  <si>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</si>
  <si>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</si>
  <si>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</si>
  <si>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</si>
  <si>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</si>
  <si>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</si>
  <si>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</si>
  <si>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</si>
  <si>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</si>
  <si>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</si>
  <si>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</si>
  <si>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</si>
  <si>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</si>
  <si>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</si>
  <si>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</si>
  <si>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</si>
  <si>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</si>
  <si>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</si>
  <si>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</si>
  <si>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</si>
  <si>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</si>
  <si>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</si>
  <si>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</si>
  <si>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</si>
  <si>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</si>
  <si>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</si>
  <si>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</si>
  <si>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</si>
  <si>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</si>
  <si>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</si>
  <si>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</si>
  <si>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</si>
  <si>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</si>
  <si>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</si>
  <si>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</si>
  <si>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</si>
  <si>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</si>
  <si>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</si>
  <si>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</si>
  <si>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</si>
  <si>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</si>
  <si>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</si>
  <si>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</si>
  <si>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</si>
  <si>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</si>
  <si>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</si>
  <si>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</si>
  <si>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</si>
  <si>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</si>
  <si>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</si>
  <si>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</si>
  <si>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</si>
  <si>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</si>
  <si>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</si>
  <si>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</si>
  <si>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</si>
  <si>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</si>
  <si>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</si>
  <si>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</si>
  <si>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</si>
  <si>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</si>
  <si>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</si>
  <si>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</si>
  <si>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</si>
  <si>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</si>
  <si>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</si>
  <si>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</si>
  <si>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</si>
  <si>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</si>
  <si>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</si>
  <si>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</si>
  <si>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</si>
  <si>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</si>
  <si>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</si>
  <si>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</si>
  <si>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</si>
  <si>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</si>
  <si>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</si>
  <si>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</si>
  <si>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</si>
  <si>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</si>
  <si>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</si>
  <si>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</si>
  <si>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</si>
  <si>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</si>
  <si>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</si>
  <si>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</si>
  <si>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</si>
  <si>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</si>
  <si>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</si>
  <si>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</si>
  <si>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</si>
  <si>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</si>
  <si>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</si>
  <si>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</si>
  <si>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</si>
  <si>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</si>
  <si>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</si>
  <si>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</si>
  <si>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</si>
  <si>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</si>
  <si>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</si>
  <si>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</si>
  <si>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</si>
  <si>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</si>
  <si>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</si>
  <si>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</si>
  <si>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</si>
  <si>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</si>
  <si>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</si>
  <si>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</si>
  <si>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</si>
  <si>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</si>
  <si>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</si>
  <si>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</si>
  <si>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</si>
  <si>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</si>
  <si>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</si>
  <si>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</si>
  <si>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</si>
  <si>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</si>
  <si>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</si>
  <si>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</si>
  <si>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</si>
  <si>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</si>
  <si>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</si>
  <si>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</si>
  <si>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</si>
  <si>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</si>
  <si>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</si>
  <si>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</si>
  <si>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</si>
  <si>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</si>
  <si>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</si>
  <si>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</si>
  <si>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</si>
  <si>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</si>
  <si>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</si>
  <si>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</si>
  <si>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</si>
  <si>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</si>
  <si>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</si>
  <si>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</si>
  <si>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</si>
  <si>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</si>
  <si>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</si>
  <si>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</si>
  <si>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</si>
  <si>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</si>
  <si>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</si>
  <si>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</si>
  <si>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</si>
  <si>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</si>
  <si>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</si>
  <si>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</si>
  <si>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</si>
  <si>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</si>
  <si>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</si>
  <si>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</si>
  <si>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</si>
  <si>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</si>
  <si>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</si>
  <si>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</si>
  <si>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</si>
  <si>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</si>
  <si>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</si>
  <si>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</si>
  <si>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</si>
  <si>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</si>
  <si>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</si>
  <si>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</si>
  <si>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</si>
  <si>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</si>
  <si>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</si>
  <si>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</si>
  <si>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</si>
  <si>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</si>
  <si>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</si>
  <si>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</si>
  <si>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</si>
  <si>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</si>
  <si>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</si>
  <si>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</si>
  <si>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</si>
  <si>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</si>
  <si>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</si>
  <si>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</si>
  <si>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</si>
  <si>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</si>
  <si>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</si>
  <si>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</si>
  <si>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</si>
  <si>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</si>
  <si>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</si>
  <si>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</si>
  <si>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</si>
  <si>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</si>
  <si>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</si>
  <si>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</si>
  <si>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</si>
  <si>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</si>
  <si>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</si>
  <si>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</si>
  <si>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</si>
  <si>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</si>
  <si>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</si>
  <si>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</si>
  <si>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</si>
  <si>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</si>
  <si>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</si>
  <si>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</si>
  <si>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</si>
  <si>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</si>
  <si>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</si>
  <si>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</si>
  <si>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</si>
  <si>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</si>
  <si>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</si>
  <si>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</si>
  <si>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</si>
  <si>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</si>
  <si>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</si>
  <si>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</si>
  <si>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</si>
  <si>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</si>
  <si>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</si>
  <si>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</si>
  <si>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</si>
  <si>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</si>
  <si>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</si>
  <si>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</si>
  <si>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</si>
  <si>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</si>
  <si>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</si>
  <si>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</si>
  <si>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</si>
  <si>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</si>
  <si>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</si>
  <si>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</si>
  <si>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</si>
  <si>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</si>
  <si>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</si>
  <si>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</si>
  <si>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</si>
  <si>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</si>
  <si>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</si>
  <si>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</si>
  <si>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</si>
  <si>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</si>
  <si>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</si>
  <si>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</si>
  <si>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</si>
  <si>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</si>
  <si>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</si>
  <si>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</si>
  <si>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</si>
  <si>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</si>
  <si>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</si>
  <si>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</si>
  <si>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</si>
  <si>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</si>
  <si>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</si>
  <si>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</si>
  <si>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</si>
  <si>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</si>
  <si>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</si>
  <si>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</si>
  <si>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</si>
  <si>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</si>
  <si>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</si>
  <si>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</si>
  <si>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</si>
  <si>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</si>
  <si>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</si>
  <si>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</si>
  <si>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</si>
  <si>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</si>
  <si>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</si>
  <si>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</si>
  <si>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</si>
  <si>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</si>
  <si>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</si>
  <si>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</si>
  <si>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</si>
  <si>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</si>
  <si>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</si>
  <si>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</si>
  <si>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</si>
  <si>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</si>
  <si>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</si>
  <si>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</si>
  <si>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</si>
  <si>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</si>
  <si>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</si>
  <si>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</si>
  <si>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</si>
  <si>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</si>
  <si>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</si>
  <si>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</si>
  <si>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</si>
  <si>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</si>
  <si>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</si>
  <si>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</si>
  <si>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</si>
  <si>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</si>
  <si>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</si>
  <si>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</si>
  <si>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</si>
  <si>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</si>
  <si>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</si>
  <si>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</si>
  <si>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</si>
  <si>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</si>
  <si>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</si>
  <si>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</si>
  <si>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</si>
  <si>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</si>
  <si>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</si>
  <si>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</si>
  <si>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</si>
  <si>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</si>
  <si>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</si>
  <si>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</si>
  <si>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</si>
  <si>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</si>
  <si>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</si>
  <si>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</si>
  <si>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</si>
  <si>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</si>
  <si>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</si>
  <si>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</si>
  <si>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</si>
  <si>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</si>
  <si>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</si>
  <si>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</si>
  <si>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</si>
  <si>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</si>
  <si>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</si>
  <si>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</si>
  <si>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</si>
  <si>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</si>
  <si>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</si>
  <si>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</si>
  <si>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</si>
  <si>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</si>
  <si>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</si>
  <si>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</si>
  <si>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</si>
  <si>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</si>
  <si>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</si>
  <si>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</si>
  <si>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</si>
  <si>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</si>
  <si>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</si>
  <si>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</si>
  <si>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</si>
  <si>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</si>
  <si>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</si>
  <si>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</si>
  <si>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</si>
  <si>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</si>
  <si>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</si>
  <si>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</si>
  <si>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</si>
  <si>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</si>
  <si>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</si>
  <si>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</si>
  <si>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</si>
  <si>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</si>
  <si>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</si>
  <si>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</si>
  <si>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</si>
  <si>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</si>
  <si>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</si>
  <si>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</si>
  <si>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</si>
  <si>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</si>
  <si>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</si>
  <si>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</si>
  <si>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</si>
  <si>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</si>
  <si>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</si>
  <si>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</si>
  <si>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</si>
  <si>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</si>
  <si>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</si>
  <si>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</si>
  <si>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</si>
  <si>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</si>
  <si>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</si>
  <si>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</si>
  <si>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</si>
  <si>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</si>
  <si>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</si>
  <si>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</si>
  <si>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</si>
  <si>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</si>
  <si>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</si>
  <si>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</si>
  <si>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</si>
  <si>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</si>
  <si>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</si>
  <si>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</si>
  <si>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</si>
  <si>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</si>
  <si>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</si>
  <si>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</si>
  <si>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</si>
  <si>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</si>
  <si>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</si>
  <si>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</si>
  <si>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</si>
  <si>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</si>
  <si>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</si>
  <si>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</si>
  <si>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</si>
  <si>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</si>
  <si>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</si>
  <si>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</si>
  <si>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</si>
  <si>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</si>
  <si>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</si>
  <si>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</si>
  <si>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</si>
  <si>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</si>
  <si>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</si>
  <si>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</si>
  <si>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</si>
  <si>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</si>
  <si>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</si>
  <si>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</si>
  <si>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</si>
  <si>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</si>
  <si>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</si>
  <si>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</si>
  <si>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</si>
  <si>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</si>
  <si>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</si>
  <si>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</si>
  <si>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</si>
  <si>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</si>
  <si>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</si>
  <si>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</si>
  <si>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</si>
  <si>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</si>
  <si>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</si>
  <si>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</si>
  <si>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</si>
  <si>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</si>
  <si>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</si>
  <si>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</si>
  <si>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</si>
  <si>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</si>
  <si>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</si>
  <si>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</si>
  <si>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</si>
  <si>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</si>
  <si>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</si>
  <si>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</si>
  <si>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</si>
  <si>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</si>
  <si>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</si>
  <si>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</si>
  <si>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</si>
  <si>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</si>
  <si>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</si>
  <si>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</si>
  <si>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</si>
  <si>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</si>
  <si>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</si>
  <si>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</si>
  <si>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</si>
  <si>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</si>
  <si>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</si>
  <si>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</si>
  <si>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</si>
  <si>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</si>
  <si>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</si>
  <si>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</si>
  <si>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</si>
  <si>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</si>
  <si>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</si>
  <si>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</si>
  <si>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</si>
  <si>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</si>
  <si>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</si>
  <si>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</si>
  <si>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</si>
  <si>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</si>
  <si>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</si>
  <si>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</si>
  <si>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</si>
  <si>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</si>
  <si>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</si>
  <si>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</si>
  <si>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</si>
  <si>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</si>
  <si>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</si>
  <si>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</si>
  <si>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</si>
  <si>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</si>
  <si>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</si>
  <si>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</si>
  <si>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</si>
  <si>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</si>
  <si>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</si>
  <si>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</si>
  <si>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</si>
  <si>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</si>
  <si>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</si>
  <si>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</si>
  <si>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</si>
  <si>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</si>
  <si>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</si>
  <si>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</si>
  <si>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</si>
  <si>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</si>
  <si>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</si>
  <si>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</si>
  <si>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</si>
  <si>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</si>
  <si>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</si>
  <si>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</si>
  <si>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</si>
  <si>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</si>
  <si>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</si>
  <si>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</si>
  <si>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</si>
  <si>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</si>
  <si>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</si>
  <si>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</si>
  <si>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</si>
  <si>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</si>
  <si>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</si>
  <si>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</si>
  <si>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</si>
  <si>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</si>
  <si>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</si>
  <si>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</si>
  <si>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</si>
  <si>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</si>
  <si>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</si>
  <si>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</si>
  <si>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</si>
  <si>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</si>
  <si>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</si>
  <si>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</si>
  <si>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</si>
  <si>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</si>
  <si>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</si>
  <si>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</si>
  <si>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</si>
  <si>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</si>
  <si>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</si>
  <si>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</si>
  <si>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</si>
  <si>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</si>
  <si>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</si>
  <si>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</si>
  <si>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</si>
  <si>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</si>
  <si>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</si>
  <si>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</si>
  <si>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</si>
  <si>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</si>
  <si>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</si>
  <si>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</si>
  <si>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</si>
  <si>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</si>
  <si>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</si>
  <si>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</si>
  <si>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</si>
  <si>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</si>
  <si>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</si>
  <si>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</si>
  <si>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</si>
  <si>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</si>
  <si>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</si>
  <si>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</si>
  <si>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</si>
  <si>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</si>
  <si>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</si>
  <si>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</si>
  <si>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</si>
  <si>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</si>
  <si>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</si>
  <si>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</si>
  <si>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</si>
  <si>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</si>
  <si>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</si>
  <si>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</si>
  <si>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</si>
  <si>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</si>
  <si>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</si>
  <si>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</si>
  <si>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</si>
  <si>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</si>
  <si>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</si>
  <si>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</si>
  <si>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</si>
  <si>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</si>
  <si>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</si>
  <si>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</si>
  <si>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</si>
  <si>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</si>
  <si>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</si>
  <si>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</si>
  <si>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</si>
  <si>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</si>
  <si>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</si>
  <si>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</si>
  <si>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</si>
  <si>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</si>
  <si>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</si>
  <si>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</si>
  <si>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</si>
  <si>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</si>
  <si>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</si>
  <si>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</si>
  <si>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</si>
  <si>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</si>
  <si>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</si>
  <si>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</si>
  <si>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</si>
  <si>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</si>
  <si>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</si>
  <si>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</si>
  <si>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</si>
  <si>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</si>
  <si>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</si>
  <si>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</si>
  <si>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</si>
  <si>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</si>
  <si>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</si>
  <si>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</si>
  <si>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</si>
  <si>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</si>
  <si>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</si>
  <si>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</si>
  <si>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</si>
  <si>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</si>
  <si>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</si>
  <si>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</si>
  <si>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</si>
  <si>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</si>
  <si>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</si>
  <si>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</si>
  <si>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</si>
  <si>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</si>
  <si>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</si>
  <si>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</si>
  <si>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</si>
  <si>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</si>
  <si>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</si>
  <si>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</si>
  <si>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</si>
  <si>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</si>
  <si>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</si>
  <si>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</si>
  <si>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</si>
  <si>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</si>
  <si>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</si>
  <si>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</si>
  <si>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</si>
  <si>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</si>
  <si>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</si>
  <si>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</si>
  <si>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</si>
  <si>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</si>
  <si>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</si>
  <si>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</si>
  <si>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</si>
  <si>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</si>
  <si>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</si>
  <si>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</si>
  <si>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</si>
  <si>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</si>
  <si>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</si>
  <si>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</si>
  <si>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</si>
  <si>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</si>
  <si>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</si>
  <si>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</si>
  <si>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</si>
  <si>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</si>
  <si>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</si>
  <si>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</si>
  <si>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</si>
  <si>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</si>
  <si>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</si>
  <si>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</si>
  <si>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</si>
  <si>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</si>
  <si>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</si>
  <si>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</si>
  <si>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</si>
  <si>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</si>
  <si>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</si>
  <si>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</si>
  <si>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</si>
  <si>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</si>
  <si>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</si>
  <si>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</si>
  <si>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</si>
  <si>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</si>
  <si>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</si>
  <si>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</si>
  <si>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</si>
  <si>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</si>
  <si>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</si>
  <si>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</si>
  <si>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</si>
  <si>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</si>
  <si>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</si>
  <si>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</si>
  <si>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</si>
  <si>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</si>
  <si>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</si>
  <si>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</si>
  <si>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</si>
  <si>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</si>
  <si>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</si>
  <si>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</si>
  <si>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</si>
  <si>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</si>
  <si>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</si>
  <si>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</si>
  <si>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</si>
  <si>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</si>
  <si>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</si>
  <si>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</si>
  <si>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</si>
  <si>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</si>
  <si>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</si>
  <si>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</si>
  <si>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</si>
  <si>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</si>
  <si>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</si>
  <si>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</si>
  <si>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</si>
  <si>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</si>
  <si>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</si>
  <si>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</si>
  <si>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</si>
  <si>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</si>
  <si>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</si>
  <si>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</si>
  <si>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</si>
  <si>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</si>
  <si>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</si>
  <si>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</si>
  <si>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</si>
  <si>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</si>
  <si>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</si>
  <si>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</si>
  <si>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</si>
  <si>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</si>
  <si>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</si>
  <si>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</si>
  <si>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</si>
  <si>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</si>
  <si>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</si>
  <si>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</si>
  <si>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</si>
  <si>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</si>
  <si>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</si>
  <si>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</si>
  <si>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</si>
  <si>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</si>
  <si>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</si>
  <si>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</si>
  <si>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</si>
  <si>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</si>
  <si>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</si>
  <si>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</si>
  <si>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</si>
  <si>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</si>
  <si>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</si>
  <si>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</si>
  <si>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</si>
  <si>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</si>
  <si>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</si>
  <si>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</si>
  <si>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</si>
  <si>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</si>
  <si>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</si>
  <si>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</si>
  <si>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</si>
  <si>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</si>
  <si>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</si>
  <si>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</si>
  <si>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</si>
  <si>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</si>
  <si>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</si>
  <si>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</si>
  <si>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</si>
  <si>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</si>
  <si>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</si>
  <si>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</si>
  <si>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</si>
  <si>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</si>
  <si>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</si>
  <si>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</si>
  <si>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</si>
  <si>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</si>
  <si>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</si>
  <si>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</si>
  <si>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</si>
  <si>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</si>
  <si>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</si>
  <si>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</si>
  <si>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</si>
  <si>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</si>
  <si>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</si>
  <si>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</si>
  <si>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</si>
  <si>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</si>
  <si>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</si>
  <si>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</si>
  <si>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</si>
  <si>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</si>
  <si>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</si>
  <si>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</si>
  <si>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</si>
  <si>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</si>
  <si>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</si>
  <si>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</si>
  <si>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</si>
  <si>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</si>
  <si>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</si>
  <si>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</si>
  <si>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</si>
  <si>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</si>
  <si>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</si>
  <si>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</si>
  <si>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</si>
  <si>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</si>
  <si>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</si>
  <si>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</si>
  <si>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</si>
  <si>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</si>
  <si>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</si>
  <si>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</si>
  <si>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</si>
  <si>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</si>
  <si>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</si>
  <si>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</si>
  <si>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</si>
  <si>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</si>
  <si>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</si>
  <si>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</si>
  <si>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</si>
  <si>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</si>
  <si>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</si>
  <si>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</si>
  <si>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</si>
  <si>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</si>
  <si>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</si>
  <si>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</si>
  <si>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</si>
  <si>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</si>
  <si>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</si>
  <si>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</si>
  <si>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</si>
  <si>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</si>
  <si>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</si>
  <si>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</si>
  <si>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</si>
  <si>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</si>
  <si>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</si>
  <si>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</si>
  <si>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</si>
  <si>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</si>
  <si>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</si>
  <si>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</si>
  <si>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</si>
  <si>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</si>
  <si>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</si>
  <si>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</si>
  <si>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</si>
  <si>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</si>
  <si>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</si>
  <si>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</si>
  <si>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</si>
  <si>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</si>
  <si>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</si>
  <si>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</si>
  <si>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</si>
  <si>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</si>
  <si>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</si>
  <si>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</si>
  <si>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</si>
  <si>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</si>
  <si>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</si>
  <si>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</si>
  <si>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</si>
  <si>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</si>
  <si>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</si>
  <si>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</si>
  <si>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</si>
  <si>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</si>
  <si>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</si>
  <si>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</si>
  <si>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</si>
  <si>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</si>
  <si>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</si>
  <si>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</si>
  <si>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</si>
  <si>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</si>
  <si>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</si>
  <si>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</si>
  <si>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</si>
  <si>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</si>
  <si>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</si>
  <si>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</si>
  <si>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</si>
  <si>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</si>
  <si>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</si>
  <si>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</si>
  <si>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</si>
  <si>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</si>
  <si>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</si>
  <si>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</si>
  <si>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</si>
  <si>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</si>
  <si>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</si>
  <si>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</si>
  <si>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</si>
  <si>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</si>
  <si>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</si>
  <si>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</si>
  <si>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</si>
  <si>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</si>
  <si>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</si>
  <si>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</si>
  <si>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</si>
  <si>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</si>
  <si>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</si>
  <si>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</si>
  <si>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</si>
  <si>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</si>
  <si>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</si>
  <si>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</si>
  <si>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</si>
  <si>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</si>
  <si>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</si>
  <si>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</si>
  <si>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</si>
  <si>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</si>
  <si>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</si>
  <si>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</si>
  <si>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</si>
  <si>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</si>
  <si>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</si>
  <si>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</si>
  <si>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</si>
  <si>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</si>
  <si>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</si>
  <si>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</si>
  <si>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</si>
  <si>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</si>
  <si>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</si>
  <si>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</si>
  <si>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</si>
  <si>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</si>
  <si>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</si>
  <si>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</si>
  <si>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</si>
  <si>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</si>
  <si>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</si>
  <si>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</si>
  <si>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</si>
  <si>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</si>
  <si>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</si>
  <si>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</si>
  <si>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</si>
  <si>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</si>
  <si>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</si>
  <si>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</si>
  <si>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</si>
  <si>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</si>
  <si>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</si>
  <si>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</si>
  <si>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</si>
  <si>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</si>
  <si>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</si>
  <si>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</si>
  <si>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</si>
  <si>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</si>
  <si>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</si>
  <si>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</si>
  <si>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</si>
  <si>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</si>
  <si>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</si>
  <si>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</si>
  <si>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</si>
  <si>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</si>
  <si>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</si>
  <si>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</si>
  <si>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</si>
  <si>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</si>
  <si>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</si>
  <si>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</si>
  <si>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</si>
  <si>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</si>
  <si>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</si>
  <si>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</si>
  <si>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</si>
  <si>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</si>
  <si>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</si>
  <si>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</si>
  <si>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</si>
  <si>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</si>
  <si>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</si>
  <si>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</si>
  <si>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</si>
  <si>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</si>
  <si>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</si>
  <si>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</si>
  <si>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</si>
  <si>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</si>
  <si>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</si>
  <si>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</si>
  <si>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</si>
  <si>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</si>
  <si>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</si>
  <si>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</si>
  <si>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</si>
  <si>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</si>
  <si>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</si>
  <si>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</si>
  <si>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</si>
  <si>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</si>
  <si>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</si>
  <si>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</si>
  <si>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</si>
  <si>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</si>
  <si>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</si>
  <si>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</si>
  <si>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</si>
  <si>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</si>
  <si>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</si>
  <si>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</si>
  <si>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</si>
  <si>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</si>
  <si>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</si>
  <si>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</si>
  <si>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</si>
  <si>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</si>
  <si>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</si>
  <si>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</si>
  <si>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</si>
  <si>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</si>
  <si>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</si>
  <si>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</si>
  <si>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</si>
  <si>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</si>
  <si>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</si>
  <si>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</si>
  <si>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</si>
  <si>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</si>
  <si>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</si>
  <si>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</si>
  <si>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</si>
  <si>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</si>
  <si>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</si>
  <si>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</si>
  <si>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</si>
  <si>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</si>
  <si>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</si>
  <si>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</si>
  <si>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</si>
  <si>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</si>
  <si>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</si>
  <si>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</si>
  <si>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</si>
  <si>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</si>
  <si>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</si>
  <si>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</si>
  <si>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</si>
  <si>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</si>
  <si>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</si>
  <si>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</si>
  <si>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</si>
  <si>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</si>
  <si>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</si>
  <si>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</si>
  <si>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</si>
  <si>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</si>
  <si>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</si>
  <si>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</si>
  <si>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</si>
  <si>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</si>
  <si>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</si>
  <si>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</si>
  <si>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</si>
  <si>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</si>
  <si>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</si>
  <si>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</si>
  <si>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</si>
  <si>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</si>
  <si>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</si>
  <si>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</si>
  <si>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</si>
  <si>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</si>
  <si>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</si>
  <si>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</si>
  <si>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</si>
  <si>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</si>
  <si>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</si>
  <si>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</si>
  <si>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</si>
  <si>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</si>
  <si>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</si>
  <si>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</si>
  <si>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</si>
  <si>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</si>
  <si>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</si>
  <si>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</si>
  <si>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</si>
  <si>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</si>
  <si>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</si>
  <si>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</si>
  <si>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</si>
  <si>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</si>
  <si>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</si>
  <si>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</si>
  <si>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</si>
  <si>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</si>
  <si>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</si>
  <si>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</si>
  <si>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</si>
  <si>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</si>
  <si>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</si>
  <si>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</si>
  <si>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</si>
  <si>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</si>
  <si>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</si>
  <si>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</si>
  <si>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</si>
  <si>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</si>
  <si>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</si>
  <si>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</si>
  <si>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</si>
  <si>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</si>
  <si>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</si>
  <si>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</si>
  <si>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</si>
  <si>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</si>
  <si>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</si>
  <si>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</si>
  <si>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</si>
  <si>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</si>
  <si>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</si>
  <si>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</si>
  <si>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</si>
  <si>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</si>
  <si>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</si>
  <si>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</si>
  <si>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</si>
  <si>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</si>
  <si>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</si>
  <si>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</si>
  <si>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</si>
  <si>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</si>
  <si>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</si>
  <si>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</si>
  <si>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</si>
  <si>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</si>
  <si>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</si>
  <si>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</si>
  <si>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</si>
  <si>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</si>
  <si>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</si>
  <si>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</si>
  <si>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</si>
  <si>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</si>
  <si>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</si>
  <si>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</si>
  <si>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</si>
  <si>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</si>
  <si>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</si>
  <si>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</si>
  <si>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</si>
  <si>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</si>
  <si>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</si>
  <si>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</si>
  <si>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</si>
  <si>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</si>
  <si>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</si>
  <si>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</si>
  <si>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</si>
  <si>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</si>
  <si>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</si>
  <si>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</si>
  <si>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</si>
  <si>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</si>
  <si>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</si>
  <si>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</si>
  <si>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</si>
  <si>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</si>
  <si>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</si>
  <si>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</si>
  <si>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</si>
  <si>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</si>
  <si>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</si>
  <si>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</si>
  <si>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</si>
  <si>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</si>
  <si>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</si>
  <si>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</si>
  <si>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</si>
  <si>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</si>
  <si>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</si>
  <si>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</si>
  <si>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</si>
  <si>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</si>
  <si>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</si>
  <si>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</si>
  <si>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</si>
  <si>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</si>
  <si>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</si>
  <si>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</si>
  <si>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</si>
  <si>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</si>
  <si>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</si>
  <si>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</si>
  <si>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</si>
  <si>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</si>
  <si>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</si>
  <si>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</si>
  <si>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</si>
  <si>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</si>
  <si>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</si>
  <si>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</si>
  <si>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</si>
  <si>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</si>
  <si>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</si>
  <si>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</si>
  <si>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</si>
  <si>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</si>
  <si>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</si>
  <si>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</si>
  <si>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</si>
  <si>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</si>
  <si>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</si>
  <si>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</si>
  <si>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</si>
  <si>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</si>
  <si>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</si>
  <si>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</si>
  <si>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</si>
  <si>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</si>
  <si>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</si>
  <si>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</si>
  <si>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</si>
  <si>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</si>
  <si>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</si>
  <si>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</si>
  <si>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</si>
  <si>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</si>
  <si>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</si>
  <si>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</si>
  <si>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</si>
  <si>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</si>
  <si>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</si>
  <si>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</si>
  <si>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</si>
  <si>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</si>
  <si>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</si>
  <si>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</si>
  <si>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</si>
  <si>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</si>
  <si>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</si>
  <si>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</si>
  <si>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</si>
  <si>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</si>
  <si>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</si>
  <si>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</si>
  <si>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</si>
  <si>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</si>
  <si>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</si>
  <si>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</si>
  <si>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</si>
  <si>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</si>
  <si>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</si>
  <si>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</si>
  <si>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</si>
  <si>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</si>
  <si>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</si>
  <si>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</si>
  <si>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</si>
  <si>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</si>
  <si>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</si>
  <si>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</si>
  <si>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</si>
  <si>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</si>
  <si>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</si>
  <si>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</si>
  <si>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</si>
  <si>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</si>
  <si>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</si>
  <si>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</si>
  <si>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</si>
  <si>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</si>
  <si>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</si>
  <si>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</si>
  <si>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</si>
  <si>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</si>
  <si>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</si>
  <si>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</si>
  <si>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</si>
  <si>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</si>
  <si>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</si>
  <si>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</si>
  <si>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</si>
  <si>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</si>
  <si>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</si>
  <si>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</si>
  <si>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</si>
  <si>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</si>
  <si>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</si>
  <si>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</si>
  <si>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</si>
  <si>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</si>
  <si>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</si>
  <si>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</si>
  <si>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</si>
  <si>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</si>
  <si>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</si>
  <si>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</si>
  <si>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</si>
  <si>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</si>
  <si>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</si>
  <si>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</si>
  <si>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</si>
  <si>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</si>
  <si>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</si>
  <si>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</si>
  <si>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</si>
  <si>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</si>
  <si>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</si>
  <si>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</si>
  <si>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</si>
  <si>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</si>
  <si>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</si>
  <si>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</si>
  <si>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</si>
  <si>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</si>
  <si>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</si>
  <si>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</si>
  <si>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</si>
  <si>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</si>
  <si>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</si>
  <si>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</si>
  <si>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</si>
  <si>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</si>
  <si>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</si>
  <si>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</si>
  <si>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</si>
  <si>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</si>
  <si>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</si>
  <si>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</si>
  <si>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</si>
  <si>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</si>
  <si>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</si>
  <si>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</si>
  <si>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</si>
  <si>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</si>
  <si>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</si>
  <si>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</si>
  <si>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</si>
  <si>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</si>
  <si>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</si>
  <si>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</si>
  <si>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</si>
  <si>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</si>
  <si>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</si>
  <si>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</si>
  <si>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</si>
  <si>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</si>
  <si>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</si>
  <si>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</si>
  <si>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</si>
  <si>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</si>
  <si>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</si>
  <si>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</si>
  <si>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</si>
  <si>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</si>
  <si>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</si>
  <si>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</si>
  <si>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</si>
  <si>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</si>
  <si>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</si>
  <si>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</si>
  <si>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</si>
  <si>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</si>
  <si>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</si>
  <si>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</si>
  <si>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</si>
  <si>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</si>
  <si>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</si>
  <si>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</si>
  <si>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</si>
  <si>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</si>
  <si>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</si>
  <si>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</si>
  <si>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</si>
  <si>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</si>
  <si>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</si>
  <si>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</si>
  <si>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</si>
  <si>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</si>
  <si>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</si>
  <si>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</si>
  <si>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</si>
  <si>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</si>
  <si>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</si>
  <si>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</si>
  <si>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</si>
  <si>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</si>
  <si>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</si>
  <si>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</si>
  <si>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</si>
  <si>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</si>
  <si>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</si>
  <si>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</si>
  <si>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</si>
  <si>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</si>
  <si>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</si>
  <si>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</si>
  <si>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</si>
  <si>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</si>
  <si>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</si>
  <si>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</si>
  <si>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</si>
  <si>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</si>
  <si>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</si>
  <si>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</si>
  <si>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</si>
  <si>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</si>
  <si>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</si>
  <si>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</si>
  <si>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</si>
  <si>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</si>
  <si>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</si>
  <si>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</si>
  <si>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</si>
  <si>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</si>
  <si>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</si>
  <si>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</si>
  <si>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</si>
  <si>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</si>
  <si>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</si>
  <si>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</si>
  <si>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</si>
  <si>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</si>
  <si>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</si>
  <si>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</si>
  <si>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</si>
  <si>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</si>
  <si>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</si>
  <si>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</si>
  <si>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</si>
  <si>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</si>
  <si>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</si>
  <si>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</si>
  <si>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</si>
  <si>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</si>
  <si>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</si>
  <si>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</si>
  <si>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</si>
  <si>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</si>
  <si>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</si>
  <si>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</si>
  <si>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</si>
  <si>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</si>
  <si>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</si>
  <si>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</si>
  <si>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</si>
  <si>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</si>
  <si>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</si>
  <si>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</si>
  <si>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</si>
  <si>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</si>
  <si>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</si>
  <si>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</si>
  <si>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</si>
  <si>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</si>
  <si>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</si>
  <si>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</si>
  <si>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</si>
  <si>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</si>
  <si>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</si>
  <si>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</si>
  <si>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</si>
  <si>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</si>
  <si>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</si>
  <si>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</si>
  <si>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</si>
  <si>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</si>
  <si>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</si>
  <si>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</si>
  <si>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</si>
  <si>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</si>
  <si>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</si>
  <si>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</si>
  <si>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</si>
  <si>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</si>
  <si>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</si>
  <si>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</si>
  <si>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</si>
  <si>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</si>
  <si>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</si>
  <si>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</si>
  <si>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</si>
  <si>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</si>
  <si>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</si>
  <si>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</si>
  <si>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</si>
  <si>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</si>
  <si>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</si>
  <si>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</si>
  <si>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</si>
  <si>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</si>
  <si>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</si>
  <si>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</si>
  <si>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</si>
  <si>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</si>
  <si>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</si>
  <si>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</si>
  <si>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</si>
  <si>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</si>
  <si>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</si>
  <si>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</si>
  <si>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</si>
  <si>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</si>
  <si>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</si>
  <si>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</si>
  <si>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</si>
  <si>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</si>
  <si>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</si>
  <si>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</si>
  <si>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</si>
  <si>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</si>
  <si>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</si>
  <si>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</si>
  <si>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</si>
  <si>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</si>
  <si>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</si>
  <si>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</si>
  <si>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</si>
  <si>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</si>
  <si>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</si>
  <si>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</si>
  <si>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</si>
  <si>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</si>
  <si>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</si>
  <si>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</si>
  <si>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</si>
  <si>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</si>
  <si>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</si>
  <si>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</si>
  <si>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</si>
  <si>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</si>
  <si>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</si>
  <si>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</si>
  <si>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</si>
  <si>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</si>
  <si>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</si>
  <si>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</si>
  <si>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</si>
  <si>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</si>
  <si>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</si>
  <si>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</si>
  <si>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</si>
  <si>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</si>
  <si>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</si>
  <si>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</si>
  <si>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</si>
  <si>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</si>
  <si>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</si>
  <si>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</si>
  <si>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</si>
  <si>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</si>
  <si>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</si>
  <si>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</si>
  <si>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</si>
  <si>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</si>
  <si>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</si>
  <si>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</si>
  <si>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</si>
  <si>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</si>
  <si>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</si>
  <si>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</si>
  <si>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</si>
  <si>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</si>
  <si>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</si>
  <si>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</si>
  <si>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</si>
  <si>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</si>
  <si>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</si>
  <si>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</si>
  <si>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</si>
  <si>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</si>
  <si>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</si>
  <si>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</si>
  <si>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</si>
  <si>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</si>
  <si>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</si>
  <si>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</si>
  <si>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</si>
  <si>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</si>
  <si>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</si>
  <si>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</si>
  <si>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</si>
  <si>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</si>
  <si>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</si>
  <si>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</si>
  <si>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</si>
  <si>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</si>
  <si>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</si>
  <si>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</si>
  <si>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</si>
  <si>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</si>
  <si>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</si>
  <si>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</si>
  <si>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</si>
  <si>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</si>
  <si>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</si>
  <si>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</si>
  <si>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</si>
  <si>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</si>
  <si>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</si>
  <si>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</si>
  <si>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</si>
  <si>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</si>
  <si>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</si>
  <si>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</si>
  <si>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</si>
  <si>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</si>
  <si>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</si>
  <si>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</si>
  <si>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</si>
  <si>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</si>
  <si>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</si>
  <si>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</si>
  <si>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</si>
  <si>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</si>
  <si>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</si>
  <si>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</si>
  <si>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</si>
  <si>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</si>
  <si>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</si>
  <si>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</si>
  <si>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</si>
  <si>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</si>
  <si>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</si>
  <si>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</si>
  <si>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</si>
  <si>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</si>
  <si>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</si>
  <si>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</si>
  <si>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</si>
  <si>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</si>
  <si>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</si>
  <si>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</si>
  <si>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</si>
  <si>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</si>
  <si>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</si>
  <si>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</si>
  <si>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</si>
  <si>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</si>
  <si>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</si>
  <si>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</si>
  <si>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</si>
  <si>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</si>
  <si>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</si>
  <si>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</si>
  <si>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</si>
  <si>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</si>
  <si>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</si>
  <si>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</si>
  <si>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</si>
  <si>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</si>
  <si>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</si>
  <si>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</si>
  <si>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</si>
  <si>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</si>
  <si>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</si>
  <si>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</si>
  <si>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</si>
  <si>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</si>
  <si>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</si>
  <si>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</si>
  <si>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</si>
  <si>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</si>
  <si>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</si>
  <si>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</si>
  <si>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</si>
  <si>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</si>
  <si>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</si>
  <si>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</si>
  <si>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</si>
  <si>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</si>
  <si>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</si>
  <si>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</si>
  <si>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</si>
  <si>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</si>
  <si>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</si>
  <si>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</si>
  <si>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</si>
  <si>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</si>
  <si>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</si>
  <si>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</si>
  <si>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</si>
  <si>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</si>
  <si>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</si>
  <si>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</si>
  <si>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</si>
  <si>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</si>
  <si>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</si>
  <si>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</si>
  <si>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</si>
  <si>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</si>
  <si>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</si>
  <si>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</si>
  <si>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</si>
  <si>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</si>
  <si>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</si>
  <si>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</si>
  <si>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</si>
  <si>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</si>
  <si>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</si>
  <si>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</si>
  <si>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</si>
  <si>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</si>
  <si>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</si>
  <si>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</si>
  <si>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</si>
  <si>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</si>
  <si>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</si>
  <si>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</si>
  <si>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</si>
  <si>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</si>
  <si>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</si>
  <si>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</si>
  <si>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</si>
  <si>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</si>
  <si>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</si>
  <si>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</si>
  <si>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</si>
  <si>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</si>
  <si>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</si>
  <si>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</si>
  <si>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</si>
  <si>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</si>
  <si>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</si>
  <si>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</si>
  <si>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</si>
  <si>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</si>
  <si>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</si>
  <si>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</si>
  <si>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</si>
  <si>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</si>
  <si>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</si>
  <si>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</si>
  <si>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</si>
  <si>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</si>
  <si>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</si>
  <si>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</si>
  <si>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</si>
  <si>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</si>
  <si>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</si>
  <si>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</si>
  <si>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</si>
  <si>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</si>
  <si>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</si>
  <si>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</si>
  <si>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</si>
  <si>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</si>
  <si>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</si>
  <si>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</si>
  <si>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</si>
  <si>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</si>
  <si>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</si>
  <si>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</si>
  <si>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</si>
  <si>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</si>
  <si>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</si>
  <si>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</si>
  <si>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</si>
  <si>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</si>
  <si>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</si>
  <si>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</si>
  <si>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</si>
  <si>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</si>
  <si>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</si>
  <si>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</si>
  <si>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</si>
  <si>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</si>
  <si>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</si>
  <si>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</si>
  <si>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</si>
  <si>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</si>
  <si>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</si>
  <si>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</si>
  <si>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</si>
  <si>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</si>
  <si>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</si>
  <si>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</si>
  <si>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</si>
  <si>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</si>
  <si>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</si>
  <si>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</si>
  <si>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</si>
  <si>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</si>
  <si>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</si>
  <si>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</si>
  <si>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</si>
  <si>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</si>
  <si>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</si>
  <si>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</si>
  <si>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</si>
  <si>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</si>
  <si>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</si>
  <si>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</si>
  <si>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</si>
  <si>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</si>
  <si>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</si>
  <si>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</si>
  <si>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</si>
  <si>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</si>
  <si>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</si>
  <si>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</si>
  <si>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</si>
  <si>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</si>
  <si>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</si>
  <si>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</si>
  <si>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</si>
  <si>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</si>
  <si>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</si>
  <si>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</si>
  <si>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</si>
  <si>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</si>
  <si>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</si>
  <si>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</si>
  <si>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</si>
  <si>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</si>
  <si>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</si>
  <si>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</si>
  <si>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</si>
  <si>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</si>
  <si>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</si>
  <si>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</si>
  <si>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</si>
  <si>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</si>
  <si>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</si>
  <si>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</si>
  <si>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</si>
  <si>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</si>
  <si>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</si>
  <si>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</si>
  <si>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</si>
  <si>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</si>
  <si>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</si>
  <si>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</si>
  <si>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</si>
  <si>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</si>
  <si>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</si>
  <si>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</si>
  <si>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</si>
  <si>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</si>
  <si>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</si>
  <si>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</si>
  <si>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</si>
  <si>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</si>
  <si>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</si>
  <si>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</si>
  <si>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</si>
  <si>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</si>
  <si>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</si>
  <si>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</si>
  <si>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</si>
  <si>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</si>
  <si>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</si>
  <si>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</si>
  <si>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</si>
  <si>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</si>
  <si>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</si>
  <si>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</si>
  <si>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</si>
  <si>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</si>
  <si>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</si>
  <si>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</si>
  <si>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</si>
  <si>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</si>
  <si>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</si>
  <si>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</si>
  <si>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</si>
  <si>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</si>
  <si>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</si>
  <si>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</si>
  <si>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</si>
  <si>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</si>
  <si>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</si>
  <si>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</si>
  <si>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</si>
  <si>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</si>
  <si>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</si>
  <si>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</si>
  <si>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</si>
  <si>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</si>
  <si>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</si>
  <si>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</si>
  <si>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</si>
  <si>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</si>
  <si>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</si>
  <si>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</si>
  <si>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</si>
  <si>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</si>
  <si>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</si>
  <si>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</si>
  <si>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</si>
  <si>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</si>
  <si>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</si>
  <si>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</si>
  <si>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</si>
  <si>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</si>
  <si>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</si>
  <si>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</si>
  <si>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</si>
  <si>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</si>
  <si>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</si>
  <si>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</si>
  <si>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</si>
  <si>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</si>
  <si>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</si>
  <si>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</si>
  <si>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</si>
  <si>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</si>
  <si>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</si>
  <si>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</si>
  <si>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</si>
  <si>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</si>
  <si>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</si>
  <si>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</si>
  <si>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</si>
  <si>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</si>
  <si>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</si>
  <si>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</si>
  <si>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</si>
  <si>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</si>
  <si>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</si>
  <si>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</si>
  <si>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</si>
  <si>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</si>
  <si>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</si>
  <si>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</si>
  <si>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</si>
  <si>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</si>
  <si>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</si>
  <si>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</si>
  <si>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</si>
  <si>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</si>
  <si>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</si>
  <si>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</si>
  <si>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</si>
  <si>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</si>
  <si>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</si>
  <si>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</si>
  <si>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</si>
  <si>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</si>
  <si>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</si>
  <si>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</si>
  <si>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</si>
  <si>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</si>
  <si>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</si>
  <si>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</si>
  <si>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</si>
  <si>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</si>
  <si>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</si>
  <si>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</si>
  <si>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</si>
  <si>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</si>
  <si>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</si>
  <si>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</si>
  <si>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</si>
  <si>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</si>
  <si>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</si>
  <si>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</si>
  <si>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</si>
  <si>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</si>
  <si>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</si>
  <si>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</si>
  <si>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</si>
  <si>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</si>
  <si>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</si>
  <si>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</si>
  <si>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</si>
  <si>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</si>
  <si>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</si>
  <si>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</si>
  <si>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</si>
  <si>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</si>
  <si>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</si>
  <si>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</si>
  <si>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</si>
  <si>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</si>
  <si>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</si>
  <si>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</si>
  <si>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</si>
  <si>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</si>
  <si>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</si>
  <si>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</si>
  <si>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</si>
  <si>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</si>
  <si>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</si>
  <si>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</si>
  <si>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</si>
  <si>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</si>
  <si>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</si>
  <si>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</si>
  <si>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</si>
  <si>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</si>
  <si>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</si>
  <si>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</si>
  <si>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</si>
  <si>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</si>
  <si>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</si>
  <si>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</si>
  <si>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</si>
  <si>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</si>
  <si>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</si>
  <si>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</si>
  <si>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</si>
  <si>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</si>
  <si>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</si>
  <si>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</si>
  <si>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</si>
  <si>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</si>
  <si>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</si>
  <si>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</si>
  <si>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</si>
  <si>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</si>
  <si>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</si>
  <si>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</si>
  <si>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</si>
  <si>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</si>
  <si>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</si>
  <si>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</si>
  <si>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</si>
  <si>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</si>
  <si>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</si>
  <si>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</si>
  <si>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</si>
  <si>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</si>
  <si>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</si>
  <si>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</si>
  <si>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</si>
  <si>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</si>
  <si>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</si>
  <si>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</si>
  <si>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</si>
  <si>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</si>
  <si>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</si>
  <si>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</si>
  <si>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</si>
  <si>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</si>
  <si>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</si>
  <si>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</si>
  <si>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</si>
  <si>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</si>
  <si>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</si>
  <si>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</si>
  <si>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</si>
  <si>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</si>
  <si>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</si>
  <si>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</si>
  <si>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</si>
  <si>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</si>
  <si>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</si>
  <si>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</si>
  <si>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</si>
  <si>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</si>
  <si>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</si>
  <si>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</si>
  <si>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</si>
  <si>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</si>
  <si>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</si>
  <si>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</si>
  <si>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</si>
  <si>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</si>
  <si>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</si>
  <si>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</si>
  <si>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</si>
  <si>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</si>
  <si>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</si>
  <si>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</si>
  <si>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</si>
  <si>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</si>
  <si>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</si>
  <si>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</si>
  <si>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</si>
  <si>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</si>
  <si>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</si>
  <si>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</si>
  <si>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</si>
  <si>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</si>
  <si>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</si>
  <si>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</si>
  <si>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</si>
  <si>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</si>
  <si>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</si>
  <si>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</si>
  <si>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</si>
  <si>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</si>
  <si>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</si>
  <si>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</si>
  <si>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</si>
  <si>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</si>
  <si>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</si>
  <si>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</si>
  <si>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</si>
  <si>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</si>
  <si>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</si>
  <si>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</si>
  <si>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</si>
  <si>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</si>
  <si>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</si>
  <si>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</si>
  <si>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</si>
  <si>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</si>
  <si>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</si>
  <si>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</si>
  <si>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</si>
  <si>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</si>
  <si>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</si>
  <si>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</si>
  <si>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</si>
  <si>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</si>
  <si>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</si>
  <si>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</si>
  <si>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</si>
  <si>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</si>
  <si>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</si>
  <si>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</si>
  <si>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</si>
  <si>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</si>
  <si>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</si>
  <si>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</si>
  <si>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</si>
  <si>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</si>
  <si>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</si>
  <si>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</si>
  <si>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</si>
  <si>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</si>
  <si>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</si>
  <si>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</si>
  <si>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</si>
  <si>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</si>
  <si>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</si>
  <si>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</si>
  <si>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</si>
  <si>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</si>
  <si>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</si>
  <si>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</si>
  <si>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</si>
  <si>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</si>
  <si>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</si>
  <si>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</si>
  <si>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</si>
  <si>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</si>
  <si>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</si>
  <si>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</si>
  <si>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</si>
  <si>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</si>
  <si>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</si>
  <si>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</si>
  <si>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</si>
  <si>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</si>
  <si>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</si>
  <si>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</si>
  <si>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</si>
  <si>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</si>
  <si>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</si>
  <si>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</si>
  <si>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</si>
  <si>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</si>
  <si>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</si>
  <si>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</si>
  <si>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</si>
  <si>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</si>
  <si>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</si>
  <si>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</si>
  <si>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</si>
  <si>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</si>
  <si>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</si>
  <si>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</si>
  <si>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</si>
  <si>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</si>
  <si>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</si>
  <si>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</si>
  <si>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</si>
  <si>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</si>
  <si>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</si>
  <si>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</si>
  <si>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</si>
  <si>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</si>
  <si>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</si>
  <si>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</si>
  <si>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</si>
  <si>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</si>
  <si>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</si>
  <si>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</si>
  <si>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</si>
  <si>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</si>
  <si>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</si>
  <si>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</si>
  <si>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</si>
  <si>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</si>
  <si>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</si>
  <si>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</si>
  <si>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</si>
  <si>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</si>
  <si>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</si>
  <si>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</si>
  <si>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</si>
  <si>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</si>
  <si>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</si>
  <si>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</si>
  <si>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</si>
  <si>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</si>
  <si>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</si>
  <si>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</si>
  <si>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</si>
  <si>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</si>
  <si>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</si>
  <si>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</si>
  <si>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</si>
  <si>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</si>
  <si>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</si>
  <si>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</si>
  <si>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</si>
  <si>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</si>
  <si>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</si>
  <si>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</si>
  <si>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</si>
  <si>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</si>
  <si>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</si>
  <si>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</si>
  <si>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</si>
  <si>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</si>
  <si>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</si>
  <si>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</si>
  <si>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</si>
  <si>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</si>
  <si>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</si>
  <si>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</si>
  <si>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</si>
  <si>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</si>
  <si>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</si>
  <si>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</si>
  <si>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</si>
  <si>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</si>
  <si>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</si>
  <si>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</si>
  <si>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</si>
  <si>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</si>
  <si>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</si>
  <si>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</si>
  <si>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</si>
  <si>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</si>
  <si>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</si>
  <si>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</si>
  <si>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</si>
  <si>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</si>
  <si>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</si>
  <si>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</si>
  <si>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</si>
  <si>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</si>
  <si>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</si>
  <si>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</si>
  <si>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</si>
  <si>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</si>
  <si>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</si>
  <si>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</si>
  <si>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</si>
  <si>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</si>
  <si>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</si>
  <si>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</si>
  <si>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</si>
  <si>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</si>
  <si>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</si>
  <si>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</si>
  <si>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</si>
  <si>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</si>
  <si>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</si>
  <si>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</si>
  <si>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</si>
  <si>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</si>
  <si>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</si>
  <si>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</si>
  <si>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</si>
  <si>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</si>
  <si>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</si>
  <si>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</si>
  <si>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</si>
  <si>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</si>
  <si>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</si>
  <si>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</si>
  <si>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</si>
  <si>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</si>
  <si>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</si>
  <si>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</si>
  <si>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</si>
  <si>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</si>
  <si>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</si>
  <si>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</si>
  <si>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</si>
  <si>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</si>
  <si>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</si>
  <si>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</si>
  <si>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</si>
  <si>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</si>
  <si>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</si>
  <si>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</si>
  <si>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</si>
  <si>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</si>
  <si>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</si>
  <si>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</si>
  <si>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</si>
  <si>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</si>
  <si>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</si>
  <si>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</si>
  <si>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</si>
  <si>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</si>
  <si>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</si>
  <si>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</si>
  <si>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</si>
  <si>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</si>
  <si>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</si>
  <si>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</si>
  <si>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</si>
  <si>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</si>
  <si>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</si>
  <si>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</si>
  <si>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</si>
  <si>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</si>
  <si>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</si>
  <si>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</si>
  <si>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</si>
  <si>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</si>
  <si>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</si>
  <si>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</si>
  <si>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</si>
  <si>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</si>
  <si>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</si>
  <si>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</si>
  <si>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</si>
  <si>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</si>
  <si>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</si>
  <si>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</si>
  <si>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</si>
  <si>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</si>
  <si>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</si>
  <si>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</si>
  <si>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</si>
  <si>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</si>
  <si>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</si>
  <si>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</si>
  <si>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</si>
  <si>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</si>
  <si>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</si>
  <si>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</si>
  <si>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</si>
  <si>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</si>
  <si>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</si>
  <si>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</si>
  <si>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</si>
  <si>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</si>
  <si>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</si>
  <si>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</si>
  <si>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</si>
  <si>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</si>
  <si>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</si>
  <si>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</si>
  <si>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</si>
  <si>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</si>
  <si>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</si>
  <si>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</si>
  <si>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</si>
  <si>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</si>
  <si>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</si>
  <si>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</si>
  <si>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</si>
  <si>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</si>
  <si>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</si>
  <si>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</si>
  <si>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</si>
  <si>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</si>
  <si>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</si>
  <si>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</si>
  <si>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</si>
  <si>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</si>
  <si>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</si>
  <si>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</si>
  <si>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</si>
  <si>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</si>
  <si>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</si>
  <si>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</si>
  <si>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</si>
  <si>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</si>
  <si>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</si>
  <si>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</si>
  <si>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</si>
  <si>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</si>
  <si>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</si>
  <si>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</si>
  <si>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</si>
  <si>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</si>
  <si>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</si>
  <si>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</si>
  <si>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</si>
  <si>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</si>
  <si>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</si>
  <si>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</si>
  <si>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</si>
  <si>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</si>
  <si>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</si>
  <si>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</si>
  <si>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</si>
  <si>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</si>
  <si>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</si>
  <si>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</si>
  <si>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</si>
  <si>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</si>
  <si>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</si>
  <si>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</si>
  <si>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</si>
  <si>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</si>
  <si>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</si>
  <si>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</si>
  <si>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</si>
  <si>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</si>
  <si>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</si>
  <si>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</si>
  <si>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</si>
  <si>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</si>
  <si>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</si>
  <si>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</si>
  <si>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</si>
  <si>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</si>
  <si>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</si>
  <si>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</si>
  <si>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</si>
  <si>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</si>
  <si>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</si>
  <si>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</si>
  <si>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</si>
  <si>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</si>
  <si>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</si>
  <si>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</si>
  <si>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</si>
  <si>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</si>
  <si>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</si>
  <si>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</si>
  <si>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</si>
  <si>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</si>
  <si>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</si>
  <si>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</si>
  <si>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</si>
  <si>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</si>
  <si>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</si>
  <si>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</si>
  <si>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</si>
  <si>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</si>
  <si>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</si>
  <si>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</si>
  <si>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</si>
  <si>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</si>
  <si>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</si>
  <si>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</si>
  <si>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</si>
  <si>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</si>
  <si>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</si>
  <si>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</si>
  <si>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</si>
  <si>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</si>
  <si>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</si>
  <si>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</si>
  <si>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</si>
  <si>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</si>
  <si>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</si>
  <si>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</si>
  <si>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</si>
  <si>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</si>
  <si>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</si>
  <si>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</si>
  <si>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</si>
  <si>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</si>
  <si>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</si>
  <si>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</si>
  <si>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</si>
  <si>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</si>
  <si>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</si>
  <si>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</si>
  <si>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</si>
  <si>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</si>
  <si>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</si>
  <si>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</si>
  <si>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</si>
  <si>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</si>
  <si>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</si>
  <si>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</si>
  <si>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</si>
  <si>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</si>
  <si>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</si>
  <si>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</si>
  <si>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</si>
  <si>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</si>
  <si>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</si>
  <si>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</si>
  <si>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</si>
  <si>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</si>
  <si>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</si>
  <si>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</si>
  <si>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</si>
  <si>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Jun</t>
  </si>
  <si>
    <t>Jul</t>
  </si>
  <si>
    <t>Sep</t>
  </si>
  <si>
    <t>Oct</t>
  </si>
  <si>
    <t>Nov</t>
  </si>
  <si>
    <t>Dec</t>
  </si>
  <si>
    <t>Years (Order Date)</t>
  </si>
  <si>
    <t>Months (Order Date)</t>
  </si>
  <si>
    <t>Arabica</t>
  </si>
  <si>
    <t>Excelsa</t>
  </si>
  <si>
    <t>Librica</t>
  </si>
  <si>
    <t>Robasta</t>
  </si>
  <si>
    <t>Sum of Sales</t>
  </si>
  <si>
    <t>#4E342E</t>
  </si>
  <si>
    <t>#6D4C41</t>
  </si>
  <si>
    <t>#8D6E63</t>
  </si>
  <si>
    <t>#D7CCC8</t>
  </si>
  <si>
    <t>May</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</si>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</sst>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164" formatCode="0.0"/>
    <numFmt numFmtId="165" formatCode="dd\-mmm\-yyyy"/>
    <numFmt numFmtId="166" formatCode="0.0&quot;kg&quot;"/>
    <numFmt numFmtId="169" formatCode="_(&quot;$&quot;* #,##0_);_(&quot;$&quot;* \(#,##0\);_(&quot;$&quot;*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44" fontId="1" fillId="0" borderId="0" xfId="1" applyFont="1" applyAlignment="1">
      <alignment vertical="center"/>
    </xf>
    <xf numFmtId="44" fontId="0" fillId="0" borderId="0" xfId="1" applyFont="1"/>
    <xf numFmtId="0" fontId="0" fillId="0" borderId="0" xfId="0" pivotButton="1"/>
    <xf numFmtId="42" fontId="0" fillId="0" borderId="0" xfId="0" applyNumberFormat="1"/>
    <xf numFmtId="169" fontId="0" fillId="0" borderId="0" xfId="0" applyNumberFormat="1"/>
  </cellXfs>
  <cellStyles count="2">
    <cellStyle name="Currency" xfId="1" builtinId="4"/>
    <cellStyle name="Normal" xfId="0" builtinId="0"/>
  </cellStyles>
  <dxfs count="36">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rgb="FF8D6E63"/>
        </patternFill>
      </fill>
      <border>
        <left style="thin">
          <color theme="0"/>
        </left>
        <right style="thin">
          <color theme="0"/>
        </right>
        <top style="thin">
          <color theme="0"/>
        </top>
        <bottom style="thin">
          <color theme="0"/>
        </bottom>
      </border>
    </dxf>
    <dxf>
      <font>
        <b/>
        <i val="0"/>
        <sz val="11"/>
        <color theme="0"/>
        <name val="Calibri"/>
        <family val="2"/>
        <scheme val="minor"/>
      </font>
      <fill>
        <patternFill patternType="solid">
          <fgColor theme="0"/>
          <bgColor rgb="FF4E342E"/>
        </patternFill>
      </fill>
      <border diagonalUp="0" diagonalDown="0">
        <left style="thin">
          <color theme="0"/>
        </left>
        <right style="thin">
          <color theme="0"/>
        </right>
        <top style="thin">
          <color theme="0"/>
        </top>
        <bottom style="thin">
          <color theme="0"/>
        </bottom>
        <vertical/>
        <horizontal/>
      </border>
    </dxf>
    <dxf>
      <font>
        <b/>
        <i val="0"/>
        <sz val="11"/>
        <color theme="0"/>
        <name val="Calibri"/>
        <family val="2"/>
        <scheme val="minor"/>
      </font>
      <fill>
        <patternFill>
          <bgColor rgb="FF4E342E"/>
        </patternFill>
      </fill>
      <border>
        <left style="thin">
          <color theme="0"/>
        </left>
        <right style="thin">
          <color theme="0"/>
        </right>
        <top style="thin">
          <color theme="0"/>
        </top>
        <bottom style="thin">
          <color theme="0"/>
        </bottom>
      </border>
    </dxf>
    <dxf>
      <font>
        <b/>
        <i val="0"/>
        <sz val="12"/>
        <color theme="0"/>
        <name val="Calibri"/>
        <family val="2"/>
        <scheme val="minor"/>
      </font>
      <fill>
        <patternFill>
          <bgColor rgb="FF4E342E"/>
        </patternFill>
      </fill>
      <border>
        <left style="thin">
          <color theme="0"/>
        </left>
        <right style="thin">
          <color theme="0"/>
        </right>
        <top style="thin">
          <color theme="0"/>
        </top>
        <bottom style="thin">
          <color theme="0"/>
        </bottom>
      </border>
    </dxf>
  </dxfs>
  <tableStyles count="2" defaultTableStyle="TableStyleMedium2" defaultPivotStyle="PivotStyleMedium9">
    <tableStyle name="Slicer Timeline" pivot="0" table="0" count="8" xr9:uid="{2CA02DAD-9587-471A-BE05-1757881F7C33}">
      <tableStyleElement type="wholeTable" dxfId="35"/>
      <tableStyleElement type="headerRow" dxfId="34"/>
    </tableStyle>
    <tableStyle name="Timeline 1" pivot="0" table="0" count="8" xr9:uid="{72F72590-BF03-430B-A4A3-C63FFECDD410}">
      <tableStyleElement type="wholeTable" dxfId="33"/>
      <tableStyleElement type="headerRow" dxfId="32"/>
    </tableStyle>
  </tableStyles>
  <colors>
    <mruColors>
      <color rgb="FF4E342E"/>
      <color rgb="FFFFFFFF"/>
      <color rgb="FF8D6E63"/>
      <color rgb="FF6D4C41"/>
      <color rgb="FF6D6E63"/>
    </mruColors>
  </colors>
  <extLst>
    <ext xmlns:x14="http://schemas.microsoft.com/office/spreadsheetml/2009/9/main" uri="{46F421CA-312F-682f-3DD2-61675219B42D}">
      <x14:dxfs count="6">
        <dxf>
          <font>
            <b/>
            <i val="0"/>
            <sz val="11"/>
            <color theme="0"/>
            <name val="Calibri"/>
            <family val="2"/>
            <scheme val="minor"/>
          </font>
          <fill>
            <patternFill>
              <bgColor rgb="FF4E342E"/>
            </patternFill>
          </fill>
          <border>
            <left style="thin">
              <color auto="1"/>
            </left>
            <right style="thin">
              <color auto="1"/>
            </right>
            <top style="thin">
              <color auto="1"/>
            </top>
            <bottom style="thin">
              <color auto="1"/>
            </bottom>
          </border>
        </dxf>
        <dxf>
          <font>
            <b/>
            <i val="0"/>
            <sz val="11"/>
            <name val="Calibri"/>
            <family val="2"/>
            <scheme val="minor"/>
          </font>
          <fill>
            <patternFill>
              <bgColor rgb="FF4E342E"/>
            </patternFill>
          </fill>
          <border>
            <left style="thin">
              <color theme="0"/>
            </left>
            <right style="thin">
              <color theme="0"/>
            </right>
            <top style="thin">
              <color theme="0"/>
            </top>
            <bottom style="thin">
              <color theme="0"/>
            </bottom>
          </border>
        </dxf>
        <dxf>
          <fill>
            <patternFill>
              <bgColor theme="0" tint="-0.24994659260841701"/>
            </patternFill>
          </fill>
        </dxf>
        <dxf>
          <font>
            <b/>
            <i val="0"/>
            <sz val="11"/>
            <color theme="0"/>
            <name val="Calibri"/>
            <family val="2"/>
            <scheme val="minor"/>
          </font>
          <fill>
            <patternFill>
              <bgColor rgb="FF6D4C41"/>
            </patternFill>
          </fill>
          <border>
            <left style="thin">
              <color theme="0"/>
            </left>
            <right style="thin">
              <color theme="0"/>
            </right>
            <top style="thin">
              <color theme="0"/>
            </top>
            <bottom style="thin">
              <color theme="0"/>
            </bottom>
          </border>
        </dxf>
        <dxf>
          <font>
            <b/>
            <i val="0"/>
            <sz val="11"/>
            <color theme="0"/>
            <name val="Calibri"/>
            <family val="2"/>
            <scheme val="minor"/>
          </font>
          <fill>
            <patternFill>
              <bgColor rgb="FF4E342E"/>
            </patternFill>
          </fill>
          <border>
            <left style="thin">
              <color theme="0"/>
            </left>
            <right style="thin">
              <color theme="0"/>
            </right>
            <top style="thin">
              <color theme="0"/>
            </top>
            <bottom style="thin">
              <color theme="0"/>
            </bottom>
          </border>
        </dxf>
        <dxf>
          <font>
            <b/>
            <i val="0"/>
            <sz val="11"/>
            <color theme="0"/>
            <name val="Calibri"/>
            <family val="2"/>
            <scheme val="minor"/>
          </font>
          <fill>
            <patternFill>
              <bgColor rgb="FF4E342E"/>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Timeline">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0.14996795556505021"/>
            </patternFill>
          </fill>
        </dxf>
        <dxf>
          <fill>
            <patternFill patternType="solid">
              <fgColor theme="0"/>
              <bgColor rgb="FF8D6E63"/>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9"/>
            <color theme="0"/>
            <name val="Calibri"/>
            <family val="2"/>
            <scheme val="minor"/>
          </font>
        </dxf>
        <dxf>
          <font>
            <b/>
            <i val="0"/>
            <sz val="10"/>
            <color theme="0"/>
            <name val="Calibri"/>
            <family val="2"/>
            <scheme val="minor"/>
          </font>
        </dxf>
        <dxf>
          <font>
            <b/>
            <i val="0"/>
            <sz val="11"/>
            <color theme="0" tint="-4.9989318521683403E-2"/>
            <name val="Calibri"/>
            <family val="2"/>
            <scheme val="minor"/>
          </font>
        </dxf>
      </x15:dxfs>
    </ext>
    <ext xmlns:x15="http://schemas.microsoft.com/office/spreadsheetml/2010/11/main" uri="{9260A510-F301-46a8-8635-F512D64BE5F5}">
      <x15:timelineStyles defaultTimelineStyle="TimeSlicerStyleLight1">
        <x15:timelineStyle name="Timelin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Sales!PivotTable1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a:t>
            </a:r>
            <a:r>
              <a:rPr lang="en-US" baseline="0"/>
              <a:t> Sales Over Time</a:t>
            </a:r>
            <a:endParaRPr lang="en-US"/>
          </a:p>
        </c:rich>
      </c:tx>
      <c:layout>
        <c:manualLayout>
          <c:xMode val="edge"/>
          <c:yMode val="edge"/>
          <c:x val="0.3411070110701107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4">
                  <a:lumMod val="75000"/>
                </a:schemeClr>
              </a:solidFill>
              <a:round/>
            </a:ln>
            <a:effectLst/>
          </c:spPr>
          <c:marker>
            <c:symbol val="none"/>
          </c:marker>
          <c:cat>
            <c:multiLvlStrRef>
              <c:f>'Total Sales'!$A$5:$B$15</c:f>
              <c:multiLvlStrCache>
                <c:ptCount val="11"/>
                <c:lvl>
                  <c:pt idx="0">
                    <c:v>Sep</c:v>
                  </c:pt>
                  <c:pt idx="1">
                    <c:v>Oct</c:v>
                  </c:pt>
                  <c:pt idx="2">
                    <c:v>Nov</c:v>
                  </c:pt>
                  <c:pt idx="3">
                    <c:v>Dec</c:v>
                  </c:pt>
                  <c:pt idx="4">
                    <c:v>Jan</c:v>
                  </c:pt>
                  <c:pt idx="5">
                    <c:v>Feb</c:v>
                  </c:pt>
                  <c:pt idx="6">
                    <c:v>Mar</c:v>
                  </c:pt>
                  <c:pt idx="7">
                    <c:v>Apr</c:v>
                  </c:pt>
                  <c:pt idx="8">
                    <c:v>May</c:v>
                  </c:pt>
                  <c:pt idx="9">
                    <c:v>Jun</c:v>
                  </c:pt>
                  <c:pt idx="10">
                    <c:v>Jul</c:v>
                  </c:pt>
                </c:lvl>
                <c:lvl>
                  <c:pt idx="0">
                    <c:v>2019</c:v>
                  </c:pt>
                  <c:pt idx="4">
                    <c:v>2020</c:v>
                  </c:pt>
                </c:lvl>
              </c:multiLvlStrCache>
            </c:multiLvlStrRef>
          </c:cat>
          <c:val>
            <c:numRef>
              <c:f>'Total Sales'!$C$5:$C$15</c:f>
              <c:numCache>
                <c:formatCode>_("$"* #,##0_);_("$"* \(#,##0\);_("$"* "-"_);_(@_)</c:formatCode>
                <c:ptCount val="11"/>
                <c:pt idx="0">
                  <c:v>178.70999999999998</c:v>
                </c:pt>
                <c:pt idx="1">
                  <c:v>301.98499999999996</c:v>
                </c:pt>
                <c:pt idx="2">
                  <c:v>312.83499999999998</c:v>
                </c:pt>
                <c:pt idx="3">
                  <c:v>265.62</c:v>
                </c:pt>
                <c:pt idx="4">
                  <c:v>47.25</c:v>
                </c:pt>
                <c:pt idx="5">
                  <c:v>745.45</c:v>
                </c:pt>
                <c:pt idx="6">
                  <c:v>130.47</c:v>
                </c:pt>
                <c:pt idx="7">
                  <c:v>27</c:v>
                </c:pt>
                <c:pt idx="8">
                  <c:v>255.11499999999995</c:v>
                </c:pt>
                <c:pt idx="9">
                  <c:v>584.79</c:v>
                </c:pt>
                <c:pt idx="10">
                  <c:v>430.61999999999995</c:v>
                </c:pt>
              </c:numCache>
            </c:numRef>
          </c:val>
          <c:smooth val="0"/>
          <c:extLst>
            <c:ext xmlns:c16="http://schemas.microsoft.com/office/drawing/2014/chart" uri="{C3380CC4-5D6E-409C-BE32-E72D297353CC}">
              <c16:uniqueId val="{00000000-032D-47FE-BF09-D74C9D28022D}"/>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Sales'!$A$5:$B$15</c:f>
              <c:multiLvlStrCache>
                <c:ptCount val="11"/>
                <c:lvl>
                  <c:pt idx="0">
                    <c:v>Sep</c:v>
                  </c:pt>
                  <c:pt idx="1">
                    <c:v>Oct</c:v>
                  </c:pt>
                  <c:pt idx="2">
                    <c:v>Nov</c:v>
                  </c:pt>
                  <c:pt idx="3">
                    <c:v>Dec</c:v>
                  </c:pt>
                  <c:pt idx="4">
                    <c:v>Jan</c:v>
                  </c:pt>
                  <c:pt idx="5">
                    <c:v>Feb</c:v>
                  </c:pt>
                  <c:pt idx="6">
                    <c:v>Mar</c:v>
                  </c:pt>
                  <c:pt idx="7">
                    <c:v>Apr</c:v>
                  </c:pt>
                  <c:pt idx="8">
                    <c:v>May</c:v>
                  </c:pt>
                  <c:pt idx="9">
                    <c:v>Jun</c:v>
                  </c:pt>
                  <c:pt idx="10">
                    <c:v>Jul</c:v>
                  </c:pt>
                </c:lvl>
                <c:lvl>
                  <c:pt idx="0">
                    <c:v>2019</c:v>
                  </c:pt>
                  <c:pt idx="4">
                    <c:v>2020</c:v>
                  </c:pt>
                </c:lvl>
              </c:multiLvlStrCache>
            </c:multiLvlStrRef>
          </c:cat>
          <c:val>
            <c:numRef>
              <c:f>'Total Sales'!$D$5:$D$15</c:f>
              <c:numCache>
                <c:formatCode>_("$"* #,##0_);_("$"* \(#,##0\);_("$"* "-"_);_(@_)</c:formatCode>
                <c:ptCount val="11"/>
                <c:pt idx="0">
                  <c:v>166.1</c:v>
                </c:pt>
                <c:pt idx="1">
                  <c:v>153.76499999999999</c:v>
                </c:pt>
                <c:pt idx="2">
                  <c:v>63.249999999999993</c:v>
                </c:pt>
                <c:pt idx="3">
                  <c:v>526.51499999999987</c:v>
                </c:pt>
                <c:pt idx="4">
                  <c:v>65.805000000000007</c:v>
                </c:pt>
                <c:pt idx="5">
                  <c:v>428.88499999999999</c:v>
                </c:pt>
                <c:pt idx="6">
                  <c:v>271.48500000000001</c:v>
                </c:pt>
                <c:pt idx="7">
                  <c:v>347.26</c:v>
                </c:pt>
                <c:pt idx="8">
                  <c:v>541.73</c:v>
                </c:pt>
                <c:pt idx="9">
                  <c:v>357.42999999999989</c:v>
                </c:pt>
                <c:pt idx="10">
                  <c:v>227.42500000000001</c:v>
                </c:pt>
              </c:numCache>
            </c:numRef>
          </c:val>
          <c:smooth val="0"/>
          <c:extLst>
            <c:ext xmlns:c16="http://schemas.microsoft.com/office/drawing/2014/chart" uri="{C3380CC4-5D6E-409C-BE32-E72D297353CC}">
              <c16:uniqueId val="{00000001-032D-47FE-BF09-D74C9D28022D}"/>
            </c:ext>
          </c:extLst>
        </c:ser>
        <c:ser>
          <c:idx val="2"/>
          <c:order val="2"/>
          <c:tx>
            <c:strRef>
              <c:f>'Total Sales'!$E$3:$E$4</c:f>
              <c:strCache>
                <c:ptCount val="1"/>
                <c:pt idx="0">
                  <c:v>Librica</c:v>
                </c:pt>
              </c:strCache>
            </c:strRef>
          </c:tx>
          <c:spPr>
            <a:ln w="28575" cap="rnd">
              <a:solidFill>
                <a:srgbClr val="C00000"/>
              </a:solidFill>
              <a:round/>
            </a:ln>
            <a:effectLst/>
          </c:spPr>
          <c:marker>
            <c:symbol val="none"/>
          </c:marker>
          <c:cat>
            <c:multiLvlStrRef>
              <c:f>'Total Sales'!$A$5:$B$15</c:f>
              <c:multiLvlStrCache>
                <c:ptCount val="11"/>
                <c:lvl>
                  <c:pt idx="0">
                    <c:v>Sep</c:v>
                  </c:pt>
                  <c:pt idx="1">
                    <c:v>Oct</c:v>
                  </c:pt>
                  <c:pt idx="2">
                    <c:v>Nov</c:v>
                  </c:pt>
                  <c:pt idx="3">
                    <c:v>Dec</c:v>
                  </c:pt>
                  <c:pt idx="4">
                    <c:v>Jan</c:v>
                  </c:pt>
                  <c:pt idx="5">
                    <c:v>Feb</c:v>
                  </c:pt>
                  <c:pt idx="6">
                    <c:v>Mar</c:v>
                  </c:pt>
                  <c:pt idx="7">
                    <c:v>Apr</c:v>
                  </c:pt>
                  <c:pt idx="8">
                    <c:v>May</c:v>
                  </c:pt>
                  <c:pt idx="9">
                    <c:v>Jun</c:v>
                  </c:pt>
                  <c:pt idx="10">
                    <c:v>Jul</c:v>
                  </c:pt>
                </c:lvl>
                <c:lvl>
                  <c:pt idx="0">
                    <c:v>2019</c:v>
                  </c:pt>
                  <c:pt idx="4">
                    <c:v>2020</c:v>
                  </c:pt>
                </c:lvl>
              </c:multiLvlStrCache>
            </c:multiLvlStrRef>
          </c:cat>
          <c:val>
            <c:numRef>
              <c:f>'Total Sales'!$E$5:$E$15</c:f>
              <c:numCache>
                <c:formatCode>_("$"* #,##0_);_("$"* \(#,##0\);_("$"* "-"_);_(@_)</c:formatCode>
                <c:ptCount val="11"/>
                <c:pt idx="0">
                  <c:v>439.30999999999995</c:v>
                </c:pt>
                <c:pt idx="1">
                  <c:v>215.55500000000001</c:v>
                </c:pt>
                <c:pt idx="2">
                  <c:v>350.89499999999992</c:v>
                </c:pt>
                <c:pt idx="3">
                  <c:v>187.06</c:v>
                </c:pt>
                <c:pt idx="4">
                  <c:v>274.67500000000001</c:v>
                </c:pt>
                <c:pt idx="5">
                  <c:v>194.17499999999998</c:v>
                </c:pt>
                <c:pt idx="6">
                  <c:v>281.20499999999998</c:v>
                </c:pt>
                <c:pt idx="7">
                  <c:v>147.51000000000002</c:v>
                </c:pt>
                <c:pt idx="8">
                  <c:v>83.429999999999993</c:v>
                </c:pt>
                <c:pt idx="9">
                  <c:v>355.33999999999992</c:v>
                </c:pt>
                <c:pt idx="10">
                  <c:v>236.315</c:v>
                </c:pt>
              </c:numCache>
            </c:numRef>
          </c:val>
          <c:smooth val="0"/>
          <c:extLst>
            <c:ext xmlns:c16="http://schemas.microsoft.com/office/drawing/2014/chart" uri="{C3380CC4-5D6E-409C-BE32-E72D297353CC}">
              <c16:uniqueId val="{00000002-032D-47FE-BF09-D74C9D28022D}"/>
            </c:ext>
          </c:extLst>
        </c:ser>
        <c:ser>
          <c:idx val="3"/>
          <c:order val="3"/>
          <c:tx>
            <c:strRef>
              <c:f>'Total Sales'!$F$3:$F$4</c:f>
              <c:strCache>
                <c:ptCount val="1"/>
                <c:pt idx="0">
                  <c:v>Robasta</c:v>
                </c:pt>
              </c:strCache>
            </c:strRef>
          </c:tx>
          <c:spPr>
            <a:ln w="28575" cap="rnd">
              <a:solidFill>
                <a:schemeClr val="accent4"/>
              </a:solidFill>
              <a:round/>
            </a:ln>
            <a:effectLst/>
          </c:spPr>
          <c:marker>
            <c:symbol val="none"/>
          </c:marker>
          <c:cat>
            <c:multiLvlStrRef>
              <c:f>'Total Sales'!$A$5:$B$15</c:f>
              <c:multiLvlStrCache>
                <c:ptCount val="11"/>
                <c:lvl>
                  <c:pt idx="0">
                    <c:v>Sep</c:v>
                  </c:pt>
                  <c:pt idx="1">
                    <c:v>Oct</c:v>
                  </c:pt>
                  <c:pt idx="2">
                    <c:v>Nov</c:v>
                  </c:pt>
                  <c:pt idx="3">
                    <c:v>Dec</c:v>
                  </c:pt>
                  <c:pt idx="4">
                    <c:v>Jan</c:v>
                  </c:pt>
                  <c:pt idx="5">
                    <c:v>Feb</c:v>
                  </c:pt>
                  <c:pt idx="6">
                    <c:v>Mar</c:v>
                  </c:pt>
                  <c:pt idx="7">
                    <c:v>Apr</c:v>
                  </c:pt>
                  <c:pt idx="8">
                    <c:v>May</c:v>
                  </c:pt>
                  <c:pt idx="9">
                    <c:v>Jun</c:v>
                  </c:pt>
                  <c:pt idx="10">
                    <c:v>Jul</c:v>
                  </c:pt>
                </c:lvl>
                <c:lvl>
                  <c:pt idx="0">
                    <c:v>2019</c:v>
                  </c:pt>
                  <c:pt idx="4">
                    <c:v>2020</c:v>
                  </c:pt>
                </c:lvl>
              </c:multiLvlStrCache>
            </c:multiLvlStrRef>
          </c:cat>
          <c:val>
            <c:numRef>
              <c:f>'Total Sales'!$F$5:$F$15</c:f>
              <c:numCache>
                <c:formatCode>_("$"* #,##0_);_("$"* \(#,##0\);_("$"* "-"_);_(@_)</c:formatCode>
                <c:ptCount val="11"/>
                <c:pt idx="0">
                  <c:v>492.89999999999992</c:v>
                </c:pt>
                <c:pt idx="1">
                  <c:v>213.66499999999999</c:v>
                </c:pt>
                <c:pt idx="2">
                  <c:v>96.404999999999987</c:v>
                </c:pt>
                <c:pt idx="3">
                  <c:v>210.58999999999997</c:v>
                </c:pt>
                <c:pt idx="4">
                  <c:v>179.21999999999997</c:v>
                </c:pt>
                <c:pt idx="5">
                  <c:v>429.83</c:v>
                </c:pt>
                <c:pt idx="6">
                  <c:v>231.63</c:v>
                </c:pt>
                <c:pt idx="7">
                  <c:v>240.04</c:v>
                </c:pt>
                <c:pt idx="8">
                  <c:v>59.079999999999991</c:v>
                </c:pt>
                <c:pt idx="9">
                  <c:v>140.88</c:v>
                </c:pt>
                <c:pt idx="10">
                  <c:v>414.58499999999998</c:v>
                </c:pt>
              </c:numCache>
            </c:numRef>
          </c:val>
          <c:smooth val="0"/>
          <c:extLst>
            <c:ext xmlns:c16="http://schemas.microsoft.com/office/drawing/2014/chart" uri="{C3380CC4-5D6E-409C-BE32-E72D297353CC}">
              <c16:uniqueId val="{00000003-032D-47FE-BF09-D74C9D28022D}"/>
            </c:ext>
          </c:extLst>
        </c:ser>
        <c:dLbls>
          <c:showLegendKey val="0"/>
          <c:showVal val="0"/>
          <c:showCatName val="0"/>
          <c:showSerName val="0"/>
          <c:showPercent val="0"/>
          <c:showBubbleSize val="0"/>
        </c:dLbls>
        <c:smooth val="0"/>
        <c:axId val="185685616"/>
        <c:axId val="2104515791"/>
      </c:lineChart>
      <c:catAx>
        <c:axId val="185685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4515791"/>
        <c:crosses val="autoZero"/>
        <c:auto val="1"/>
        <c:lblAlgn val="ctr"/>
        <c:lblOffset val="100"/>
        <c:noMultiLvlLbl val="0"/>
      </c:catAx>
      <c:valAx>
        <c:axId val="210451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68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 Chart!PivotTable1</c:name>
    <c:fmtId val="11"/>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 #,##0_);_("$"* \(#,##0\);_("$"* "-"??_);_(@_)</c:formatCode>
                <c:ptCount val="3"/>
                <c:pt idx="0">
                  <c:v>1140.8700000000001</c:v>
                </c:pt>
                <c:pt idx="1">
                  <c:v>1334.53</c:v>
                </c:pt>
                <c:pt idx="2">
                  <c:v>9428.3900000000031</c:v>
                </c:pt>
              </c:numCache>
            </c:numRef>
          </c:val>
          <c:extLst>
            <c:ext xmlns:c16="http://schemas.microsoft.com/office/drawing/2014/chart" uri="{C3380CC4-5D6E-409C-BE32-E72D297353CC}">
              <c16:uniqueId val="{00000000-571F-4A95-8AC8-683B427E2C79}"/>
            </c:ext>
          </c:extLst>
        </c:ser>
        <c:dLbls>
          <c:dLblPos val="outEnd"/>
          <c:showLegendKey val="0"/>
          <c:showVal val="1"/>
          <c:showCatName val="0"/>
          <c:showSerName val="0"/>
          <c:showPercent val="0"/>
          <c:showBubbleSize val="0"/>
        </c:dLbls>
        <c:gapWidth val="182"/>
        <c:axId val="1287773167"/>
        <c:axId val="1080684015"/>
      </c:barChart>
      <c:catAx>
        <c:axId val="128777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080684015"/>
        <c:crosses val="autoZero"/>
        <c:auto val="1"/>
        <c:lblAlgn val="ctr"/>
        <c:lblOffset val="100"/>
        <c:noMultiLvlLbl val="0"/>
      </c:catAx>
      <c:valAx>
        <c:axId val="10806840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28777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5!PivotTable1</c:name>
    <c:fmtId val="12"/>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Claudetta Rushe</c:v>
                </c:pt>
                <c:pt idx="1">
                  <c:v>Shelli Keynd</c:v>
                </c:pt>
                <c:pt idx="2">
                  <c:v>Elysee Sketch</c:v>
                </c:pt>
                <c:pt idx="3">
                  <c:v>Don Flintiff</c:v>
                </c:pt>
                <c:pt idx="4">
                  <c:v>Allis Wilmore</c:v>
                </c:pt>
              </c:strCache>
            </c:strRef>
          </c:cat>
          <c:val>
            <c:numRef>
              <c:f>'Top 5'!$B$4:$B$8</c:f>
              <c:numCache>
                <c:formatCode>_("$"* #,##0_);_("$"* \(#,##0\);_("$"* "-"??_);_(@_)</c:formatCode>
                <c:ptCount val="5"/>
                <c:pt idx="0">
                  <c:v>193.63499999999996</c:v>
                </c:pt>
                <c:pt idx="1">
                  <c:v>204.92999999999995</c:v>
                </c:pt>
                <c:pt idx="2">
                  <c:v>204.92999999999995</c:v>
                </c:pt>
                <c:pt idx="3">
                  <c:v>219.81</c:v>
                </c:pt>
                <c:pt idx="4">
                  <c:v>237.81999999999996</c:v>
                </c:pt>
              </c:numCache>
            </c:numRef>
          </c:val>
          <c:extLst>
            <c:ext xmlns:c16="http://schemas.microsoft.com/office/drawing/2014/chart" uri="{C3380CC4-5D6E-409C-BE32-E72D297353CC}">
              <c16:uniqueId val="{00000000-6207-4457-9F5D-06A9A4401851}"/>
            </c:ext>
          </c:extLst>
        </c:ser>
        <c:dLbls>
          <c:dLblPos val="outEnd"/>
          <c:showLegendKey val="0"/>
          <c:showVal val="1"/>
          <c:showCatName val="0"/>
          <c:showSerName val="0"/>
          <c:showPercent val="0"/>
          <c:showBubbleSize val="0"/>
        </c:dLbls>
        <c:gapWidth val="182"/>
        <c:axId val="1287773167"/>
        <c:axId val="1080684015"/>
      </c:barChart>
      <c:catAx>
        <c:axId val="128777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080684015"/>
        <c:crosses val="autoZero"/>
        <c:auto val="1"/>
        <c:lblAlgn val="ctr"/>
        <c:lblOffset val="100"/>
        <c:noMultiLvlLbl val="0"/>
      </c:catAx>
      <c:valAx>
        <c:axId val="10806840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28777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Sales!PivotTable1</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4">
                  <a:lumMod val="75000"/>
                </a:schemeClr>
              </a:solidFill>
              <a:round/>
            </a:ln>
            <a:effectLst/>
          </c:spPr>
          <c:marker>
            <c:symbol val="none"/>
          </c:marker>
          <c:cat>
            <c:multiLvlStrRef>
              <c:f>'Total Sales'!$A$5:$B$15</c:f>
              <c:multiLvlStrCache>
                <c:ptCount val="11"/>
                <c:lvl>
                  <c:pt idx="0">
                    <c:v>Sep</c:v>
                  </c:pt>
                  <c:pt idx="1">
                    <c:v>Oct</c:v>
                  </c:pt>
                  <c:pt idx="2">
                    <c:v>Nov</c:v>
                  </c:pt>
                  <c:pt idx="3">
                    <c:v>Dec</c:v>
                  </c:pt>
                  <c:pt idx="4">
                    <c:v>Jan</c:v>
                  </c:pt>
                  <c:pt idx="5">
                    <c:v>Feb</c:v>
                  </c:pt>
                  <c:pt idx="6">
                    <c:v>Mar</c:v>
                  </c:pt>
                  <c:pt idx="7">
                    <c:v>Apr</c:v>
                  </c:pt>
                  <c:pt idx="8">
                    <c:v>May</c:v>
                  </c:pt>
                  <c:pt idx="9">
                    <c:v>Jun</c:v>
                  </c:pt>
                  <c:pt idx="10">
                    <c:v>Jul</c:v>
                  </c:pt>
                </c:lvl>
                <c:lvl>
                  <c:pt idx="0">
                    <c:v>2019</c:v>
                  </c:pt>
                  <c:pt idx="4">
                    <c:v>2020</c:v>
                  </c:pt>
                </c:lvl>
              </c:multiLvlStrCache>
            </c:multiLvlStrRef>
          </c:cat>
          <c:val>
            <c:numRef>
              <c:f>'Total Sales'!$C$5:$C$15</c:f>
              <c:numCache>
                <c:formatCode>_("$"* #,##0_);_("$"* \(#,##0\);_("$"* "-"_);_(@_)</c:formatCode>
                <c:ptCount val="11"/>
                <c:pt idx="0">
                  <c:v>178.70999999999998</c:v>
                </c:pt>
                <c:pt idx="1">
                  <c:v>301.98499999999996</c:v>
                </c:pt>
                <c:pt idx="2">
                  <c:v>312.83499999999998</c:v>
                </c:pt>
                <c:pt idx="3">
                  <c:v>265.62</c:v>
                </c:pt>
                <c:pt idx="4">
                  <c:v>47.25</c:v>
                </c:pt>
                <c:pt idx="5">
                  <c:v>745.45</c:v>
                </c:pt>
                <c:pt idx="6">
                  <c:v>130.47</c:v>
                </c:pt>
                <c:pt idx="7">
                  <c:v>27</c:v>
                </c:pt>
                <c:pt idx="8">
                  <c:v>255.11499999999995</c:v>
                </c:pt>
                <c:pt idx="9">
                  <c:v>584.79</c:v>
                </c:pt>
                <c:pt idx="10">
                  <c:v>430.61999999999995</c:v>
                </c:pt>
              </c:numCache>
            </c:numRef>
          </c:val>
          <c:smooth val="0"/>
          <c:extLst>
            <c:ext xmlns:c16="http://schemas.microsoft.com/office/drawing/2014/chart" uri="{C3380CC4-5D6E-409C-BE32-E72D297353CC}">
              <c16:uniqueId val="{00000005-3473-4D88-A3EF-51C612205998}"/>
            </c:ext>
          </c:extLst>
        </c:ser>
        <c:ser>
          <c:idx val="1"/>
          <c:order val="1"/>
          <c:tx>
            <c:strRef>
              <c:f>'Total Sales'!$D$3:$D$4</c:f>
              <c:strCache>
                <c:ptCount val="1"/>
                <c:pt idx="0">
                  <c:v>Excelsa</c:v>
                </c:pt>
              </c:strCache>
            </c:strRef>
          </c:tx>
          <c:spPr>
            <a:ln w="28575" cap="rnd">
              <a:solidFill>
                <a:srgbClr val="00B050"/>
              </a:solidFill>
              <a:round/>
            </a:ln>
            <a:effectLst/>
          </c:spPr>
          <c:marker>
            <c:symbol val="none"/>
          </c:marker>
          <c:cat>
            <c:multiLvlStrRef>
              <c:f>'Total Sales'!$A$5:$B$15</c:f>
              <c:multiLvlStrCache>
                <c:ptCount val="11"/>
                <c:lvl>
                  <c:pt idx="0">
                    <c:v>Sep</c:v>
                  </c:pt>
                  <c:pt idx="1">
                    <c:v>Oct</c:v>
                  </c:pt>
                  <c:pt idx="2">
                    <c:v>Nov</c:v>
                  </c:pt>
                  <c:pt idx="3">
                    <c:v>Dec</c:v>
                  </c:pt>
                  <c:pt idx="4">
                    <c:v>Jan</c:v>
                  </c:pt>
                  <c:pt idx="5">
                    <c:v>Feb</c:v>
                  </c:pt>
                  <c:pt idx="6">
                    <c:v>Mar</c:v>
                  </c:pt>
                  <c:pt idx="7">
                    <c:v>Apr</c:v>
                  </c:pt>
                  <c:pt idx="8">
                    <c:v>May</c:v>
                  </c:pt>
                  <c:pt idx="9">
                    <c:v>Jun</c:v>
                  </c:pt>
                  <c:pt idx="10">
                    <c:v>Jul</c:v>
                  </c:pt>
                </c:lvl>
                <c:lvl>
                  <c:pt idx="0">
                    <c:v>2019</c:v>
                  </c:pt>
                  <c:pt idx="4">
                    <c:v>2020</c:v>
                  </c:pt>
                </c:lvl>
              </c:multiLvlStrCache>
            </c:multiLvlStrRef>
          </c:cat>
          <c:val>
            <c:numRef>
              <c:f>'Total Sales'!$D$5:$D$15</c:f>
              <c:numCache>
                <c:formatCode>_("$"* #,##0_);_("$"* \(#,##0\);_("$"* "-"_);_(@_)</c:formatCode>
                <c:ptCount val="11"/>
                <c:pt idx="0">
                  <c:v>166.1</c:v>
                </c:pt>
                <c:pt idx="1">
                  <c:v>153.76499999999999</c:v>
                </c:pt>
                <c:pt idx="2">
                  <c:v>63.249999999999993</c:v>
                </c:pt>
                <c:pt idx="3">
                  <c:v>526.51499999999987</c:v>
                </c:pt>
                <c:pt idx="4">
                  <c:v>65.805000000000007</c:v>
                </c:pt>
                <c:pt idx="5">
                  <c:v>428.88499999999999</c:v>
                </c:pt>
                <c:pt idx="6">
                  <c:v>271.48500000000001</c:v>
                </c:pt>
                <c:pt idx="7">
                  <c:v>347.26</c:v>
                </c:pt>
                <c:pt idx="8">
                  <c:v>541.73</c:v>
                </c:pt>
                <c:pt idx="9">
                  <c:v>357.42999999999989</c:v>
                </c:pt>
                <c:pt idx="10">
                  <c:v>227.42500000000001</c:v>
                </c:pt>
              </c:numCache>
            </c:numRef>
          </c:val>
          <c:smooth val="0"/>
          <c:extLst>
            <c:ext xmlns:c16="http://schemas.microsoft.com/office/drawing/2014/chart" uri="{C3380CC4-5D6E-409C-BE32-E72D297353CC}">
              <c16:uniqueId val="{00000006-3473-4D88-A3EF-51C612205998}"/>
            </c:ext>
          </c:extLst>
        </c:ser>
        <c:ser>
          <c:idx val="2"/>
          <c:order val="2"/>
          <c:tx>
            <c:strRef>
              <c:f>'Total Sales'!$E$3:$E$4</c:f>
              <c:strCache>
                <c:ptCount val="1"/>
                <c:pt idx="0">
                  <c:v>Librica</c:v>
                </c:pt>
              </c:strCache>
            </c:strRef>
          </c:tx>
          <c:spPr>
            <a:ln w="28575" cap="rnd">
              <a:solidFill>
                <a:srgbClr val="C00000"/>
              </a:solidFill>
              <a:round/>
            </a:ln>
            <a:effectLst/>
          </c:spPr>
          <c:marker>
            <c:symbol val="none"/>
          </c:marker>
          <c:cat>
            <c:multiLvlStrRef>
              <c:f>'Total Sales'!$A$5:$B$15</c:f>
              <c:multiLvlStrCache>
                <c:ptCount val="11"/>
                <c:lvl>
                  <c:pt idx="0">
                    <c:v>Sep</c:v>
                  </c:pt>
                  <c:pt idx="1">
                    <c:v>Oct</c:v>
                  </c:pt>
                  <c:pt idx="2">
                    <c:v>Nov</c:v>
                  </c:pt>
                  <c:pt idx="3">
                    <c:v>Dec</c:v>
                  </c:pt>
                  <c:pt idx="4">
                    <c:v>Jan</c:v>
                  </c:pt>
                  <c:pt idx="5">
                    <c:v>Feb</c:v>
                  </c:pt>
                  <c:pt idx="6">
                    <c:v>Mar</c:v>
                  </c:pt>
                  <c:pt idx="7">
                    <c:v>Apr</c:v>
                  </c:pt>
                  <c:pt idx="8">
                    <c:v>May</c:v>
                  </c:pt>
                  <c:pt idx="9">
                    <c:v>Jun</c:v>
                  </c:pt>
                  <c:pt idx="10">
                    <c:v>Jul</c:v>
                  </c:pt>
                </c:lvl>
                <c:lvl>
                  <c:pt idx="0">
                    <c:v>2019</c:v>
                  </c:pt>
                  <c:pt idx="4">
                    <c:v>2020</c:v>
                  </c:pt>
                </c:lvl>
              </c:multiLvlStrCache>
            </c:multiLvlStrRef>
          </c:cat>
          <c:val>
            <c:numRef>
              <c:f>'Total Sales'!$E$5:$E$15</c:f>
              <c:numCache>
                <c:formatCode>_("$"* #,##0_);_("$"* \(#,##0\);_("$"* "-"_);_(@_)</c:formatCode>
                <c:ptCount val="11"/>
                <c:pt idx="0">
                  <c:v>439.30999999999995</c:v>
                </c:pt>
                <c:pt idx="1">
                  <c:v>215.55500000000001</c:v>
                </c:pt>
                <c:pt idx="2">
                  <c:v>350.89499999999992</c:v>
                </c:pt>
                <c:pt idx="3">
                  <c:v>187.06</c:v>
                </c:pt>
                <c:pt idx="4">
                  <c:v>274.67500000000001</c:v>
                </c:pt>
                <c:pt idx="5">
                  <c:v>194.17499999999998</c:v>
                </c:pt>
                <c:pt idx="6">
                  <c:v>281.20499999999998</c:v>
                </c:pt>
                <c:pt idx="7">
                  <c:v>147.51000000000002</c:v>
                </c:pt>
                <c:pt idx="8">
                  <c:v>83.429999999999993</c:v>
                </c:pt>
                <c:pt idx="9">
                  <c:v>355.33999999999992</c:v>
                </c:pt>
                <c:pt idx="10">
                  <c:v>236.315</c:v>
                </c:pt>
              </c:numCache>
            </c:numRef>
          </c:val>
          <c:smooth val="0"/>
          <c:extLst>
            <c:ext xmlns:c16="http://schemas.microsoft.com/office/drawing/2014/chart" uri="{C3380CC4-5D6E-409C-BE32-E72D297353CC}">
              <c16:uniqueId val="{00000007-3473-4D88-A3EF-51C612205998}"/>
            </c:ext>
          </c:extLst>
        </c:ser>
        <c:ser>
          <c:idx val="3"/>
          <c:order val="3"/>
          <c:tx>
            <c:strRef>
              <c:f>'Total Sales'!$F$3:$F$4</c:f>
              <c:strCache>
                <c:ptCount val="1"/>
                <c:pt idx="0">
                  <c:v>Robasta</c:v>
                </c:pt>
              </c:strCache>
            </c:strRef>
          </c:tx>
          <c:spPr>
            <a:ln w="28575" cap="rnd">
              <a:solidFill>
                <a:schemeClr val="accent4"/>
              </a:solidFill>
              <a:round/>
            </a:ln>
            <a:effectLst/>
          </c:spPr>
          <c:marker>
            <c:symbol val="none"/>
          </c:marker>
          <c:cat>
            <c:multiLvlStrRef>
              <c:f>'Total Sales'!$A$5:$B$15</c:f>
              <c:multiLvlStrCache>
                <c:ptCount val="11"/>
                <c:lvl>
                  <c:pt idx="0">
                    <c:v>Sep</c:v>
                  </c:pt>
                  <c:pt idx="1">
                    <c:v>Oct</c:v>
                  </c:pt>
                  <c:pt idx="2">
                    <c:v>Nov</c:v>
                  </c:pt>
                  <c:pt idx="3">
                    <c:v>Dec</c:v>
                  </c:pt>
                  <c:pt idx="4">
                    <c:v>Jan</c:v>
                  </c:pt>
                  <c:pt idx="5">
                    <c:v>Feb</c:v>
                  </c:pt>
                  <c:pt idx="6">
                    <c:v>Mar</c:v>
                  </c:pt>
                  <c:pt idx="7">
                    <c:v>Apr</c:v>
                  </c:pt>
                  <c:pt idx="8">
                    <c:v>May</c:v>
                  </c:pt>
                  <c:pt idx="9">
                    <c:v>Jun</c:v>
                  </c:pt>
                  <c:pt idx="10">
                    <c:v>Jul</c:v>
                  </c:pt>
                </c:lvl>
                <c:lvl>
                  <c:pt idx="0">
                    <c:v>2019</c:v>
                  </c:pt>
                  <c:pt idx="4">
                    <c:v>2020</c:v>
                  </c:pt>
                </c:lvl>
              </c:multiLvlStrCache>
            </c:multiLvlStrRef>
          </c:cat>
          <c:val>
            <c:numRef>
              <c:f>'Total Sales'!$F$5:$F$15</c:f>
              <c:numCache>
                <c:formatCode>_("$"* #,##0_);_("$"* \(#,##0\);_("$"* "-"_);_(@_)</c:formatCode>
                <c:ptCount val="11"/>
                <c:pt idx="0">
                  <c:v>492.89999999999992</c:v>
                </c:pt>
                <c:pt idx="1">
                  <c:v>213.66499999999999</c:v>
                </c:pt>
                <c:pt idx="2">
                  <c:v>96.404999999999987</c:v>
                </c:pt>
                <c:pt idx="3">
                  <c:v>210.58999999999997</c:v>
                </c:pt>
                <c:pt idx="4">
                  <c:v>179.21999999999997</c:v>
                </c:pt>
                <c:pt idx="5">
                  <c:v>429.83</c:v>
                </c:pt>
                <c:pt idx="6">
                  <c:v>231.63</c:v>
                </c:pt>
                <c:pt idx="7">
                  <c:v>240.04</c:v>
                </c:pt>
                <c:pt idx="8">
                  <c:v>59.079999999999991</c:v>
                </c:pt>
                <c:pt idx="9">
                  <c:v>140.88</c:v>
                </c:pt>
                <c:pt idx="10">
                  <c:v>414.58499999999998</c:v>
                </c:pt>
              </c:numCache>
            </c:numRef>
          </c:val>
          <c:smooth val="0"/>
          <c:extLst>
            <c:ext xmlns:c16="http://schemas.microsoft.com/office/drawing/2014/chart" uri="{C3380CC4-5D6E-409C-BE32-E72D297353CC}">
              <c16:uniqueId val="{00000008-3473-4D88-A3EF-51C612205998}"/>
            </c:ext>
          </c:extLst>
        </c:ser>
        <c:dLbls>
          <c:showLegendKey val="0"/>
          <c:showVal val="0"/>
          <c:showCatName val="0"/>
          <c:showSerName val="0"/>
          <c:showPercent val="0"/>
          <c:showBubbleSize val="0"/>
        </c:dLbls>
        <c:smooth val="0"/>
        <c:axId val="185685616"/>
        <c:axId val="2104515791"/>
      </c:lineChart>
      <c:catAx>
        <c:axId val="1856856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4515791"/>
        <c:crosses val="autoZero"/>
        <c:auto val="1"/>
        <c:lblAlgn val="ctr"/>
        <c:lblOffset val="100"/>
        <c:noMultiLvlLbl val="0"/>
      </c:catAx>
      <c:valAx>
        <c:axId val="210451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68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 Chart!PivotTable1</c:name>
    <c:fmtId val="7"/>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_("$"* #,##0_);_("$"* \(#,##0\);_("$"* "-"??_);_(@_)</c:formatCode>
                <c:ptCount val="3"/>
                <c:pt idx="0">
                  <c:v>1140.8700000000001</c:v>
                </c:pt>
                <c:pt idx="1">
                  <c:v>1334.53</c:v>
                </c:pt>
                <c:pt idx="2">
                  <c:v>9428.3900000000031</c:v>
                </c:pt>
              </c:numCache>
            </c:numRef>
          </c:val>
          <c:extLst>
            <c:ext xmlns:c16="http://schemas.microsoft.com/office/drawing/2014/chart" uri="{C3380CC4-5D6E-409C-BE32-E72D297353CC}">
              <c16:uniqueId val="{00000000-5E1B-47D8-9373-21E5B2D13D53}"/>
            </c:ext>
          </c:extLst>
        </c:ser>
        <c:dLbls>
          <c:dLblPos val="outEnd"/>
          <c:showLegendKey val="0"/>
          <c:showVal val="1"/>
          <c:showCatName val="0"/>
          <c:showSerName val="0"/>
          <c:showPercent val="0"/>
          <c:showBubbleSize val="0"/>
        </c:dLbls>
        <c:gapWidth val="182"/>
        <c:axId val="1287773167"/>
        <c:axId val="1080684015"/>
      </c:barChart>
      <c:catAx>
        <c:axId val="128777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080684015"/>
        <c:crosses val="autoZero"/>
        <c:auto val="1"/>
        <c:lblAlgn val="ctr"/>
        <c:lblOffset val="100"/>
        <c:noMultiLvlLbl val="0"/>
      </c:catAx>
      <c:valAx>
        <c:axId val="10806840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28777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5!PivotTable1</c:name>
    <c:fmtId val="1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Claudetta Rushe</c:v>
                </c:pt>
                <c:pt idx="1">
                  <c:v>Shelli Keynd</c:v>
                </c:pt>
                <c:pt idx="2">
                  <c:v>Elysee Sketch</c:v>
                </c:pt>
                <c:pt idx="3">
                  <c:v>Don Flintiff</c:v>
                </c:pt>
                <c:pt idx="4">
                  <c:v>Allis Wilmore</c:v>
                </c:pt>
              </c:strCache>
            </c:strRef>
          </c:cat>
          <c:val>
            <c:numRef>
              <c:f>'Top 5'!$B$4:$B$8</c:f>
              <c:numCache>
                <c:formatCode>_("$"* #,##0_);_("$"* \(#,##0\);_("$"* "-"??_);_(@_)</c:formatCode>
                <c:ptCount val="5"/>
                <c:pt idx="0">
                  <c:v>193.63499999999996</c:v>
                </c:pt>
                <c:pt idx="1">
                  <c:v>204.92999999999995</c:v>
                </c:pt>
                <c:pt idx="2">
                  <c:v>204.92999999999995</c:v>
                </c:pt>
                <c:pt idx="3">
                  <c:v>219.81</c:v>
                </c:pt>
                <c:pt idx="4">
                  <c:v>237.81999999999996</c:v>
                </c:pt>
              </c:numCache>
            </c:numRef>
          </c:val>
          <c:extLst>
            <c:ext xmlns:c16="http://schemas.microsoft.com/office/drawing/2014/chart" uri="{C3380CC4-5D6E-409C-BE32-E72D297353CC}">
              <c16:uniqueId val="{00000000-CDEC-4392-BE66-ED7B8546F057}"/>
            </c:ext>
          </c:extLst>
        </c:ser>
        <c:dLbls>
          <c:dLblPos val="outEnd"/>
          <c:showLegendKey val="0"/>
          <c:showVal val="1"/>
          <c:showCatName val="0"/>
          <c:showSerName val="0"/>
          <c:showPercent val="0"/>
          <c:showBubbleSize val="0"/>
        </c:dLbls>
        <c:gapWidth val="182"/>
        <c:axId val="1287773167"/>
        <c:axId val="1080684015"/>
      </c:barChart>
      <c:catAx>
        <c:axId val="128777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080684015"/>
        <c:crosses val="autoZero"/>
        <c:auto val="1"/>
        <c:lblAlgn val="ctr"/>
        <c:lblOffset val="100"/>
        <c:noMultiLvlLbl val="0"/>
      </c:catAx>
      <c:valAx>
        <c:axId val="108068401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28777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D6E63"/>
    </a:solidFill>
    <a:ln w="9525" cap="flat" cmpd="sng" algn="ctr">
      <a:solidFill>
        <a:schemeClr val="tx1">
          <a:lumMod val="15000"/>
          <a:lumOff val="85000"/>
        </a:schemeClr>
      </a:solid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585612</xdr:colOff>
      <xdr:row>0</xdr:row>
      <xdr:rowOff>0</xdr:rowOff>
    </xdr:from>
    <xdr:to>
      <xdr:col>24</xdr:col>
      <xdr:colOff>88900</xdr:colOff>
      <xdr:row>4</xdr:row>
      <xdr:rowOff>0</xdr:rowOff>
    </xdr:to>
    <xdr:sp macro="" textlink="">
      <xdr:nvSpPr>
        <xdr:cNvPr id="6" name="Rectangle 5">
          <a:extLst>
            <a:ext uri="{FF2B5EF4-FFF2-40B4-BE49-F238E27FC236}">
              <a16:creationId xmlns:a16="http://schemas.microsoft.com/office/drawing/2014/main" id="{F281ED1A-DC80-89E7-C08B-7FBBBDB44A97}"/>
            </a:ext>
          </a:extLst>
        </xdr:cNvPr>
        <xdr:cNvSpPr/>
      </xdr:nvSpPr>
      <xdr:spPr>
        <a:xfrm>
          <a:off x="2414412" y="0"/>
          <a:ext cx="12304888" cy="762000"/>
        </a:xfrm>
        <a:prstGeom prst="rect">
          <a:avLst/>
        </a:prstGeom>
        <a:solidFill>
          <a:srgbClr val="4E34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COFFEE</a:t>
          </a:r>
          <a:r>
            <a:rPr lang="en-US" sz="2400" baseline="0">
              <a:solidFill>
                <a:schemeClr val="bg1"/>
              </a:solidFill>
            </a:rPr>
            <a:t> SALES DASHBOARD</a:t>
          </a:r>
          <a:endParaRPr lang="en-US" sz="2400">
            <a:solidFill>
              <a:schemeClr val="bg1"/>
            </a:solidFill>
          </a:endParaRPr>
        </a:p>
      </xdr:txBody>
    </xdr:sp>
    <xdr:clientData/>
  </xdr:twoCellAnchor>
  <xdr:twoCellAnchor>
    <xdr:from>
      <xdr:col>3</xdr:col>
      <xdr:colOff>566736</xdr:colOff>
      <xdr:row>12</xdr:row>
      <xdr:rowOff>166686</xdr:rowOff>
    </xdr:from>
    <xdr:to>
      <xdr:col>17</xdr:col>
      <xdr:colOff>596899</xdr:colOff>
      <xdr:row>29</xdr:row>
      <xdr:rowOff>133349</xdr:rowOff>
    </xdr:to>
    <xdr:graphicFrame macro="">
      <xdr:nvGraphicFramePr>
        <xdr:cNvPr id="11" name="Chart 10">
          <a:extLst>
            <a:ext uri="{FF2B5EF4-FFF2-40B4-BE49-F238E27FC236}">
              <a16:creationId xmlns:a16="http://schemas.microsoft.com/office/drawing/2014/main" id="{868B090C-07F0-4142-B61D-893E0FCD4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560386</xdr:colOff>
      <xdr:row>3</xdr:row>
      <xdr:rowOff>174624</xdr:rowOff>
    </xdr:from>
    <xdr:to>
      <xdr:col>18</xdr:col>
      <xdr:colOff>23813</xdr:colOff>
      <xdr:row>12</xdr:row>
      <xdr:rowOff>166688</xdr:rowOff>
    </xdr:to>
    <mc:AlternateContent xmlns:mc="http://schemas.openxmlformats.org/markup-compatibility/2006">
      <mc:Choice xmlns:tsle="http://schemas.microsoft.com/office/drawing/2012/timeslicer" Requires="tsle">
        <xdr:graphicFrame macro="">
          <xdr:nvGraphicFramePr>
            <xdr:cNvPr id="12" name="Order Date 1">
              <a:extLst>
                <a:ext uri="{FF2B5EF4-FFF2-40B4-BE49-F238E27FC236}">
                  <a16:creationId xmlns:a16="http://schemas.microsoft.com/office/drawing/2014/main" id="{CAA7830E-9B64-4572-B552-7378F8E84072}"/>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389186" y="727074"/>
              <a:ext cx="8607427" cy="16494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4762</xdr:colOff>
      <xdr:row>7</xdr:row>
      <xdr:rowOff>93663</xdr:rowOff>
    </xdr:from>
    <xdr:to>
      <xdr:col>24</xdr:col>
      <xdr:colOff>101600</xdr:colOff>
      <xdr:row>12</xdr:row>
      <xdr:rowOff>158751</xdr:rowOff>
    </xdr:to>
    <mc:AlternateContent xmlns:mc="http://schemas.openxmlformats.org/markup-compatibility/2006">
      <mc:Choice xmlns:a14="http://schemas.microsoft.com/office/drawing/2010/main" Requires="a14">
        <xdr:graphicFrame macro="">
          <xdr:nvGraphicFramePr>
            <xdr:cNvPr id="13" name="Size 1">
              <a:extLst>
                <a:ext uri="{FF2B5EF4-FFF2-40B4-BE49-F238E27FC236}">
                  <a16:creationId xmlns:a16="http://schemas.microsoft.com/office/drawing/2014/main" id="{2CC8B19D-5566-4D6D-9913-A7DFA3835071}"/>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806362" y="1382713"/>
              <a:ext cx="1925638" cy="985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30162</xdr:colOff>
      <xdr:row>3</xdr:row>
      <xdr:rowOff>173038</xdr:rowOff>
    </xdr:from>
    <xdr:to>
      <xdr:col>24</xdr:col>
      <xdr:colOff>114300</xdr:colOff>
      <xdr:row>7</xdr:row>
      <xdr:rowOff>109538</xdr:rowOff>
    </xdr:to>
    <mc:AlternateContent xmlns:mc="http://schemas.openxmlformats.org/markup-compatibility/2006">
      <mc:Choice xmlns:a14="http://schemas.microsoft.com/office/drawing/2010/main" Requires="a14">
        <xdr:graphicFrame macro="">
          <xdr:nvGraphicFramePr>
            <xdr:cNvPr id="14" name="Roast Type Name 1">
              <a:extLst>
                <a:ext uri="{FF2B5EF4-FFF2-40B4-BE49-F238E27FC236}">
                  <a16:creationId xmlns:a16="http://schemas.microsoft.com/office/drawing/2014/main" id="{232D78CB-003D-47F0-B71C-39FA027C97E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002962" y="725488"/>
              <a:ext cx="3741738" cy="67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44449</xdr:colOff>
      <xdr:row>7</xdr:row>
      <xdr:rowOff>106363</xdr:rowOff>
    </xdr:from>
    <xdr:to>
      <xdr:col>21</xdr:col>
      <xdr:colOff>31749</xdr:colOff>
      <xdr:row>12</xdr:row>
      <xdr:rowOff>171451</xdr:rowOff>
    </xdr:to>
    <mc:AlternateContent xmlns:mc="http://schemas.openxmlformats.org/markup-compatibility/2006">
      <mc:Choice xmlns:a14="http://schemas.microsoft.com/office/drawing/2010/main" Requires="a14">
        <xdr:graphicFrame macro="">
          <xdr:nvGraphicFramePr>
            <xdr:cNvPr id="15" name="Loyalty Card 1">
              <a:extLst>
                <a:ext uri="{FF2B5EF4-FFF2-40B4-BE49-F238E27FC236}">
                  <a16:creationId xmlns:a16="http://schemas.microsoft.com/office/drawing/2014/main" id="{A6D1E3FB-4A18-45CD-9C12-08F7B768C74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1017249" y="1395413"/>
              <a:ext cx="1816100" cy="9858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595312</xdr:colOff>
      <xdr:row>12</xdr:row>
      <xdr:rowOff>187327</xdr:rowOff>
    </xdr:from>
    <xdr:to>
      <xdr:col>24</xdr:col>
      <xdr:colOff>76200</xdr:colOff>
      <xdr:row>21</xdr:row>
      <xdr:rowOff>28575</xdr:rowOff>
    </xdr:to>
    <xdr:graphicFrame macro="">
      <xdr:nvGraphicFramePr>
        <xdr:cNvPr id="16" name="Chart 15">
          <a:extLst>
            <a:ext uri="{FF2B5EF4-FFF2-40B4-BE49-F238E27FC236}">
              <a16:creationId xmlns:a16="http://schemas.microsoft.com/office/drawing/2014/main" id="{7EB6A54F-6AAF-4751-BFC8-730FE90AD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1587</xdr:colOff>
      <xdr:row>21</xdr:row>
      <xdr:rowOff>20638</xdr:rowOff>
    </xdr:from>
    <xdr:to>
      <xdr:col>24</xdr:col>
      <xdr:colOff>69850</xdr:colOff>
      <xdr:row>29</xdr:row>
      <xdr:rowOff>139700</xdr:rowOff>
    </xdr:to>
    <xdr:graphicFrame macro="">
      <xdr:nvGraphicFramePr>
        <xdr:cNvPr id="17" name="Chart 16">
          <a:extLst>
            <a:ext uri="{FF2B5EF4-FFF2-40B4-BE49-F238E27FC236}">
              <a16:creationId xmlns:a16="http://schemas.microsoft.com/office/drawing/2014/main" id="{94D1954F-B7F7-431E-9947-6546086AF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527050</xdr:colOff>
      <xdr:row>8</xdr:row>
      <xdr:rowOff>0</xdr:rowOff>
    </xdr:from>
    <xdr:to>
      <xdr:col>14</xdr:col>
      <xdr:colOff>279400</xdr:colOff>
      <xdr:row>22</xdr:row>
      <xdr:rowOff>165100</xdr:rowOff>
    </xdr:to>
    <xdr:graphicFrame macro="">
      <xdr:nvGraphicFramePr>
        <xdr:cNvPr id="2" name="Chart 1">
          <a:extLst>
            <a:ext uri="{FF2B5EF4-FFF2-40B4-BE49-F238E27FC236}">
              <a16:creationId xmlns:a16="http://schemas.microsoft.com/office/drawing/2014/main" id="{480BA54D-FEA1-02FE-F0D1-9D7A7D07E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69850</xdr:colOff>
      <xdr:row>0</xdr:row>
      <xdr:rowOff>114300</xdr:rowOff>
    </xdr:from>
    <xdr:to>
      <xdr:col>14</xdr:col>
      <xdr:colOff>241300</xdr:colOff>
      <xdr:row>8</xdr:row>
      <xdr:rowOff>12700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83A237E3-6A82-69DD-4997-EC5E32FF37D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124450" y="114300"/>
              <a:ext cx="50482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0</xdr:colOff>
      <xdr:row>4</xdr:row>
      <xdr:rowOff>50801</xdr:rowOff>
    </xdr:from>
    <xdr:to>
      <xdr:col>20</xdr:col>
      <xdr:colOff>0</xdr:colOff>
      <xdr:row>9</xdr:row>
      <xdr:rowOff>107951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1D3F0B91-5CF3-E393-F770-CFBB5DAD8A4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760200" y="787401"/>
              <a:ext cx="1828800"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234950</xdr:colOff>
      <xdr:row>0</xdr:row>
      <xdr:rowOff>120651</xdr:rowOff>
    </xdr:from>
    <xdr:to>
      <xdr:col>18</xdr:col>
      <xdr:colOff>323850</xdr:colOff>
      <xdr:row>4</xdr:row>
      <xdr:rowOff>50801</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26114C64-D1AC-B61D-EDA1-EA3FAAD845A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166350" y="120651"/>
              <a:ext cx="25273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241300</xdr:colOff>
      <xdr:row>4</xdr:row>
      <xdr:rowOff>63501</xdr:rowOff>
    </xdr:from>
    <xdr:to>
      <xdr:col>17</xdr:col>
      <xdr:colOff>31750</xdr:colOff>
      <xdr:row>9</xdr:row>
      <xdr:rowOff>120651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ADFFF227-59A2-D5E6-8C46-2DE7559DC42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172700" y="800101"/>
              <a:ext cx="1619250" cy="977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63500</xdr:colOff>
      <xdr:row>2</xdr:row>
      <xdr:rowOff>9525</xdr:rowOff>
    </xdr:from>
    <xdr:to>
      <xdr:col>11</xdr:col>
      <xdr:colOff>450850</xdr:colOff>
      <xdr:row>16</xdr:row>
      <xdr:rowOff>174625</xdr:rowOff>
    </xdr:to>
    <xdr:graphicFrame macro="">
      <xdr:nvGraphicFramePr>
        <xdr:cNvPr id="7" name="Chart 6">
          <a:extLst>
            <a:ext uri="{FF2B5EF4-FFF2-40B4-BE49-F238E27FC236}">
              <a16:creationId xmlns:a16="http://schemas.microsoft.com/office/drawing/2014/main" id="{CCC388C0-0C31-AE37-BB74-287F20BFF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xdr:colOff>
      <xdr:row>0</xdr:row>
      <xdr:rowOff>174625</xdr:rowOff>
    </xdr:from>
    <xdr:to>
      <xdr:col>11</xdr:col>
      <xdr:colOff>444500</xdr:colOff>
      <xdr:row>15</xdr:row>
      <xdr:rowOff>155575</xdr:rowOff>
    </xdr:to>
    <xdr:graphicFrame macro="">
      <xdr:nvGraphicFramePr>
        <xdr:cNvPr id="2" name="Chart 1">
          <a:extLst>
            <a:ext uri="{FF2B5EF4-FFF2-40B4-BE49-F238E27FC236}">
              <a16:creationId xmlns:a16="http://schemas.microsoft.com/office/drawing/2014/main" id="{88DF8C4C-3BEA-4D04-B9A9-718FA1571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tab" refreshedDate="46265.012701736108" createdVersion="8" refreshedVersion="8" minRefreshableVersion="3" recordCount="1000" xr:uid="{77F76BCF-901F-425F-ADBF-13BC6FA7BA08}">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asta"/>
        <s v="Excelsa"/>
        <s v="Arabica"/>
        <s v="Lib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660134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831601-7AC1-4D2A-890C-9A51CFA6C72F}"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15"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1">
    <i>
      <x v="1"/>
      <x v="9"/>
    </i>
    <i r="1">
      <x v="10"/>
    </i>
    <i r="1">
      <x v="11"/>
    </i>
    <i r="1">
      <x v="12"/>
    </i>
    <i>
      <x v="2"/>
      <x v="1"/>
    </i>
    <i r="1">
      <x v="2"/>
    </i>
    <i r="1">
      <x v="3"/>
    </i>
    <i r="1">
      <x v="4"/>
    </i>
    <i r="1">
      <x v="5"/>
    </i>
    <i r="1">
      <x v="6"/>
    </i>
    <i r="1">
      <x v="7"/>
    </i>
  </rowItems>
  <colFields count="1">
    <field x="13"/>
  </colFields>
  <colItems count="4">
    <i>
      <x/>
    </i>
    <i>
      <x v="1"/>
    </i>
    <i>
      <x v="2"/>
    </i>
    <i>
      <x v="3"/>
    </i>
  </colItems>
  <dataFields count="1">
    <dataField name="Sum of Sales" fld="12" baseField="15" baseItem="1" numFmtId="42"/>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57" name="Order Date">
      <autoFilter ref="A1">
        <filterColumn colId="0">
          <customFilters and="1">
            <customFilter operator="greaterThanOrEqual" val="43709"/>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BF5058-3471-43FA-A55A-29AE9628D218}"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formats count="1">
    <format dxfId="19">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51" name="Order Date">
      <autoFilter ref="A1">
        <filterColumn colId="0">
          <customFilters and="1">
            <customFilter operator="greaterThanOrEqual" val="43709"/>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0A26A6-03E4-4EAC-A5C0-CE0E527A5DF0}"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181"/>
    </i>
    <i>
      <x v="785"/>
    </i>
    <i>
      <x v="289"/>
    </i>
    <i>
      <x v="255"/>
    </i>
    <i>
      <x v="28"/>
    </i>
  </rowItems>
  <colItems count="1">
    <i/>
  </colItems>
  <dataFields count="1">
    <dataField name="Sum of Sales" fld="12" baseField="0" baseItem="0" numFmtId="169"/>
  </dataFields>
  <formats count="1">
    <format dxfId="18">
      <pivotArea outline="0" collapsedLevelsAreSubtotals="1" fieldPosition="0"/>
    </format>
  </formats>
  <chartFormats count="5">
    <chartFormat chart="4"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2" name="Order Date">
      <autoFilter ref="A1">
        <filterColumn colId="0">
          <customFilters and="1">
            <customFilter operator="greaterThanOrEqual" val="43709"/>
            <customFilter operator="lessThanOrEqual" val="44043"/>
          </customFilters>
        </filterColumn>
      </autoFilter>
      <extLst>
        <ext xmlns:x15="http://schemas.microsoft.com/office/spreadsheetml/2010/11/main" uri="{0605FD5F-26C8-4aeb-8148-2DB25E43C511}">
          <x15:pivotFilter useWholeDay="1"/>
        </ext>
      </extLst>
    </filter>
    <filter fld="5" type="count" evalOrder="-1" id="4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0BC2059-8715-4340-8F02-F1EEB96B8F0D}" sourceName="Size">
  <pivotTables>
    <pivotTable tabId="19" name="PivotTable1"/>
    <pivotTable tabId="20" name="PivotTable1"/>
    <pivotTable tabId="21" name="PivotTable1"/>
  </pivotTables>
  <data>
    <tabular pivotCacheId="66013403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88F5EA2-908A-4FA8-B1A0-0EB148789246}" sourceName="Roast Type Name">
  <pivotTables>
    <pivotTable tabId="19" name="PivotTable1"/>
    <pivotTable tabId="20" name="PivotTable1"/>
    <pivotTable tabId="21" name="PivotTable1"/>
  </pivotTables>
  <data>
    <tabular pivotCacheId="66013403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9E2054B-F90F-48C4-8B5F-875AB4721525}" sourceName="Loyalty Card">
  <pivotTables>
    <pivotTable tabId="19" name="PivotTable1"/>
    <pivotTable tabId="20" name="PivotTable1"/>
    <pivotTable tabId="21" name="PivotTable1"/>
  </pivotTables>
  <data>
    <tabular pivotCacheId="6601340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5A534685-69C4-4643-BE88-1C24EE11B46F}" cache="Slicer_Size" caption="Size" columnCount="2" style="Slicer Timeline" rowHeight="241300"/>
  <slicer name="Roast Type Name 1" xr10:uid="{27189D73-79DF-4635-88D7-0E859A0FF162}" cache="Slicer_Roast_Type_Name" caption="Roast Type Name" columnCount="3" style="Slicer Timeline" rowHeight="241300"/>
  <slicer name="Loyalty Card 1" xr10:uid="{30D42900-BF17-4ED5-A0DA-CE12548B6B10}" cache="Slicer_Loyalty_Card" caption="Loyalty Card" style="Slicer Timel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E7B60F4-2B8D-4626-90B8-9EE005D28AFF}" cache="Slicer_Size" caption="Size" columnCount="2" style="Slicer Timeline" rowHeight="241300"/>
  <slicer name="Roast Type Name" xr10:uid="{B5F8F669-E7BD-4CEA-904C-B315122DEDF5}" cache="Slicer_Roast_Type_Name" caption="Roast Type Name" columnCount="3" style="Slicer Timeline" rowHeight="241300"/>
  <slicer name="Loyalty Card" xr10:uid="{DF4E70C2-83E5-4405-A659-20883AFDDB81}" cache="Slicer_Loyalty_Card" caption="Loyalty Card" style="Slicer Timelin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479A30-562D-4EE2-B870-80C6B86FCE33}" name="Table1" displayName="Table1" ref="A1:P1001" totalsRowShown="0" headerRowDxfId="31">
  <autoFilter ref="A1:P1001" xr:uid="{64479A30-562D-4EE2-B870-80C6B86FCE33}"/>
  <tableColumns count="16">
    <tableColumn id="1" xr3:uid="{4A47BC2F-01AE-47F1-A04E-CA0831031CBF}" name="Order ID" dataDxfId="30"/>
    <tableColumn id="2" xr3:uid="{24103D2B-7BB4-47EA-9F4A-31E477F424C3}" name="Order Date" dataDxfId="29"/>
    <tableColumn id="3" xr3:uid="{8CE3E5D6-A6F0-4013-9B1E-4AE9F0C55186}" name="Customer ID" dataDxfId="28"/>
    <tableColumn id="4" xr3:uid="{716748B6-BA3E-4EE0-ADBE-F87EC63DBCC0}" name="Product ID"/>
    <tableColumn id="5" xr3:uid="{22429CB6-5CE4-434B-BD47-7D0BC4ACC4DB}" name="Quantity" dataDxfId="27"/>
    <tableColumn id="6" xr3:uid="{16E2521E-29CB-4229-8351-06851133A9B1}" name="Customer Name" dataDxfId="26">
      <calculatedColumnFormula>_xlfn.XLOOKUP(C2,customers!$A$1:$A$1001,customers!$B$1:$B$1001,0)</calculatedColumnFormula>
    </tableColumn>
    <tableColumn id="7" xr3:uid="{C4EFD042-FD5E-4BB9-AC3E-5A92F241E45E}" name="Email" dataDxfId="25">
      <calculatedColumnFormula>IF(_xlfn.XLOOKUP(C2,customers!$A$1:$A$1001,customers!$C$1:$C$1001,0)=0,"",_xlfn.XLOOKUP(C2,customers!$A$1:$A$1001,customers!$C$1:$C$1001,0))</calculatedColumnFormula>
    </tableColumn>
    <tableColumn id="8" xr3:uid="{B53A23A9-C654-4C8E-94C7-2EF87C849802}" name="Country" dataDxfId="24">
      <calculatedColumnFormula>_xlfn.XLOOKUP(C2,customers!$A$1:$A$1001,customers!$G$1:$G$1001,0)</calculatedColumnFormula>
    </tableColumn>
    <tableColumn id="9" xr3:uid="{A6650346-EC03-4A77-A6FA-E374E912BBDF}" name="Coffee Type">
      <calculatedColumnFormula>INDEX(products!$A$1:$G$49,MATCH(orders!$D2,products!$A$1:$A$49,0),MATCH(orders!I$1,products!$A$1:$G$1,0))</calculatedColumnFormula>
    </tableColumn>
    <tableColumn id="10" xr3:uid="{D5AA35A2-E349-421F-9B4C-BEA2B061CB52}" name="Roast Type">
      <calculatedColumnFormula>INDEX(products!$A$1:$G$49,MATCH(orders!$D2,products!$A$1:$A$49,0),MATCH(orders!J$1,products!$A$1:$G$1,0))</calculatedColumnFormula>
    </tableColumn>
    <tableColumn id="11" xr3:uid="{F62530AD-5D4D-4409-9FEA-FF0D35CB7D1B}" name="Size" dataDxfId="23">
      <calculatedColumnFormula>INDEX(products!$A$1:$G$49,MATCH(orders!$D2,products!$A$1:$A$49,0),MATCH(orders!K$1,products!$A$1:$G$1,0))</calculatedColumnFormula>
    </tableColumn>
    <tableColumn id="12" xr3:uid="{345A141A-96DE-451E-B58D-B92C0BD0A1E9}" name="Unit Price" dataDxfId="22" dataCellStyle="Currency">
      <calculatedColumnFormula>INDEX(products!$A$1:$G$49,MATCH(orders!$D2,products!$A$1:$A$49,0),MATCH(orders!L$1,products!$A$1:$G$1,0))</calculatedColumnFormula>
    </tableColumn>
    <tableColumn id="13" xr3:uid="{A5A2FD7F-C083-4E70-BCE3-C1A02EC3695A}" name="Sales" dataDxfId="21" dataCellStyle="Currency">
      <calculatedColumnFormula>L2*E2</calculatedColumnFormula>
    </tableColumn>
    <tableColumn id="14" xr3:uid="{D929AEE0-C449-4612-98B8-AACAB4B098EA}" name="Coffee Type Name">
      <calculatedColumnFormula>IF(I2="Rob","Robasta",IF(I2="Exc","Excelsa",IF(I2="Ara","Arabica",IF(I2="Lib","Librica",""))))</calculatedColumnFormula>
    </tableColumn>
    <tableColumn id="15" xr3:uid="{709E6B30-3D97-44DC-B029-A8C9C13A5F67}" name="Roast Type Name">
      <calculatedColumnFormula>IF(J2="M","Medium",IF(J2="L","Large",IF(J2="S","Small",IF(J2="D","Dark",""))))</calculatedColumnFormula>
    </tableColumn>
    <tableColumn id="16" xr3:uid="{73B4CF38-6967-484C-8CA0-FD440B869B68}" name="Loyalty Card" dataDxfId="20">
      <calculatedColumnFormula>_xlfn.XLOOKUP(Table1[[#This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E4115AA-6F6B-465F-8A20-5420E71CF0D0}" sourceName="Order Date">
  <pivotTables>
    <pivotTable tabId="19" name="PivotTable1"/>
    <pivotTable tabId="20" name="PivotTable1"/>
    <pivotTable tabId="21" name="PivotTable1"/>
  </pivotTables>
  <state minimalRefreshVersion="6" lastRefreshVersion="6" pivotCacheId="660134034" filterType="dateBetween">
    <selection startDate="2019-09-01T00:00:00" endDate="2020-07-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98F4FAF-81D2-4C22-A0FD-A86E1C2FA18C}" cache="NativeTimeline_Order_Date" caption="Order Date" level="2" selectionLevel="2" scrollPosition="2019-05-20T00:00:00" style="Timelin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1793CC0-22DD-4CE5-9499-F435C973D13B}" cache="NativeTimeline_Order_Date" caption="Order Date" level="2" selectionLevel="2" scrollPosition="2019-05-20T00:00:00" style="Timelin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A02D4-C6A7-4BAA-8543-F4E40A15FEE8}">
  <dimension ref="A1"/>
  <sheetViews>
    <sheetView tabSelected="1" topLeftCell="I13" zoomScaleNormal="100" workbookViewId="0">
      <selection activeCell="Y25" sqref="Y2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D8E46-D0BF-4C01-82F1-2E9700D323A2}">
  <dimension ref="A3:Q15"/>
  <sheetViews>
    <sheetView topLeftCell="D1" workbookViewId="0">
      <selection activeCell="O14" sqref="O14"/>
    </sheetView>
  </sheetViews>
  <sheetFormatPr defaultRowHeight="14.5" x14ac:dyDescent="0.35"/>
  <cols>
    <col min="1" max="1" width="12.36328125" bestFit="1" customWidth="1"/>
    <col min="2" max="2" width="20.90625" bestFit="1" customWidth="1"/>
    <col min="3" max="3" width="18.453125" bestFit="1" customWidth="1"/>
    <col min="4" max="4" width="6.81640625" bestFit="1" customWidth="1"/>
    <col min="5" max="5" width="6.1796875" bestFit="1" customWidth="1"/>
    <col min="6" max="6" width="7.6328125" bestFit="1" customWidth="1"/>
  </cols>
  <sheetData>
    <row r="3" spans="1:17" x14ac:dyDescent="0.35">
      <c r="A3" s="8" t="s">
        <v>6215</v>
      </c>
      <c r="C3" s="8" t="s">
        <v>6196</v>
      </c>
    </row>
    <row r="4" spans="1:17" x14ac:dyDescent="0.35">
      <c r="A4" s="8" t="s">
        <v>6209</v>
      </c>
      <c r="B4" s="8" t="s">
        <v>6210</v>
      </c>
      <c r="C4" t="s">
        <v>6211</v>
      </c>
      <c r="D4" t="s">
        <v>6212</v>
      </c>
      <c r="E4" t="s">
        <v>6213</v>
      </c>
      <c r="F4" t="s">
        <v>6214</v>
      </c>
    </row>
    <row r="5" spans="1:17" x14ac:dyDescent="0.35">
      <c r="A5" t="s">
        <v>6198</v>
      </c>
      <c r="B5" t="s">
        <v>6205</v>
      </c>
      <c r="C5" s="9">
        <v>178.70999999999998</v>
      </c>
      <c r="D5" s="9">
        <v>166.1</v>
      </c>
      <c r="E5" s="9">
        <v>439.30999999999995</v>
      </c>
      <c r="F5" s="9">
        <v>492.89999999999992</v>
      </c>
    </row>
    <row r="6" spans="1:17" x14ac:dyDescent="0.35">
      <c r="B6" t="s">
        <v>6206</v>
      </c>
      <c r="C6" s="9">
        <v>301.98499999999996</v>
      </c>
      <c r="D6" s="9">
        <v>153.76499999999999</v>
      </c>
      <c r="E6" s="9">
        <v>215.55500000000001</v>
      </c>
      <c r="F6" s="9">
        <v>213.66499999999999</v>
      </c>
      <c r="Q6" t="s">
        <v>6216</v>
      </c>
    </row>
    <row r="7" spans="1:17" x14ac:dyDescent="0.35">
      <c r="B7" t="s">
        <v>6207</v>
      </c>
      <c r="C7" s="9">
        <v>312.83499999999998</v>
      </c>
      <c r="D7" s="9">
        <v>63.249999999999993</v>
      </c>
      <c r="E7" s="9">
        <v>350.89499999999992</v>
      </c>
      <c r="F7" s="9">
        <v>96.404999999999987</v>
      </c>
      <c r="Q7" t="s">
        <v>6217</v>
      </c>
    </row>
    <row r="8" spans="1:17" x14ac:dyDescent="0.35">
      <c r="B8" t="s">
        <v>6208</v>
      </c>
      <c r="C8" s="9">
        <v>265.62</v>
      </c>
      <c r="D8" s="9">
        <v>526.51499999999987</v>
      </c>
      <c r="E8" s="9">
        <v>187.06</v>
      </c>
      <c r="F8" s="9">
        <v>210.58999999999997</v>
      </c>
      <c r="Q8" t="s">
        <v>6218</v>
      </c>
    </row>
    <row r="9" spans="1:17" x14ac:dyDescent="0.35">
      <c r="A9" t="s">
        <v>6221</v>
      </c>
      <c r="B9" t="s">
        <v>6199</v>
      </c>
      <c r="C9" s="9">
        <v>47.25</v>
      </c>
      <c r="D9" s="9">
        <v>65.805000000000007</v>
      </c>
      <c r="E9" s="9">
        <v>274.67500000000001</v>
      </c>
      <c r="F9" s="9">
        <v>179.21999999999997</v>
      </c>
      <c r="Q9" t="s">
        <v>6219</v>
      </c>
    </row>
    <row r="10" spans="1:17" x14ac:dyDescent="0.35">
      <c r="B10" t="s">
        <v>6200</v>
      </c>
      <c r="C10" s="9">
        <v>745.45</v>
      </c>
      <c r="D10" s="9">
        <v>428.88499999999999</v>
      </c>
      <c r="E10" s="9">
        <v>194.17499999999998</v>
      </c>
      <c r="F10" s="9">
        <v>429.83</v>
      </c>
    </row>
    <row r="11" spans="1:17" x14ac:dyDescent="0.35">
      <c r="B11" t="s">
        <v>6201</v>
      </c>
      <c r="C11" s="9">
        <v>130.47</v>
      </c>
      <c r="D11" s="9">
        <v>271.48500000000001</v>
      </c>
      <c r="E11" s="9">
        <v>281.20499999999998</v>
      </c>
      <c r="F11" s="9">
        <v>231.63</v>
      </c>
    </row>
    <row r="12" spans="1:17" x14ac:dyDescent="0.35">
      <c r="B12" t="s">
        <v>6202</v>
      </c>
      <c r="C12" s="9">
        <v>27</v>
      </c>
      <c r="D12" s="9">
        <v>347.26</v>
      </c>
      <c r="E12" s="9">
        <v>147.51000000000002</v>
      </c>
      <c r="F12" s="9">
        <v>240.04</v>
      </c>
    </row>
    <row r="13" spans="1:17" x14ac:dyDescent="0.35">
      <c r="B13" t="s">
        <v>6220</v>
      </c>
      <c r="C13" s="9">
        <v>255.11499999999995</v>
      </c>
      <c r="D13" s="9">
        <v>541.73</v>
      </c>
      <c r="E13" s="9">
        <v>83.429999999999993</v>
      </c>
      <c r="F13" s="9">
        <v>59.079999999999991</v>
      </c>
    </row>
    <row r="14" spans="1:17" x14ac:dyDescent="0.35">
      <c r="B14" t="s">
        <v>6203</v>
      </c>
      <c r="C14" s="9">
        <v>584.79</v>
      </c>
      <c r="D14" s="9">
        <v>357.42999999999989</v>
      </c>
      <c r="E14" s="9">
        <v>355.33999999999992</v>
      </c>
      <c r="F14" s="9">
        <v>140.88</v>
      </c>
    </row>
    <row r="15" spans="1:17" x14ac:dyDescent="0.35">
      <c r="B15" t="s">
        <v>6204</v>
      </c>
      <c r="C15" s="9">
        <v>430.61999999999995</v>
      </c>
      <c r="D15" s="9">
        <v>227.42500000000001</v>
      </c>
      <c r="E15" s="9">
        <v>236.315</v>
      </c>
      <c r="F15" s="9">
        <v>414.58499999999998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E9441-2ACE-4BC5-9627-D6660A50E91A}">
  <dimension ref="A3:W9"/>
  <sheetViews>
    <sheetView topLeftCell="A3" workbookViewId="0">
      <selection activeCell="B4" sqref="B4:B6"/>
    </sheetView>
  </sheetViews>
  <sheetFormatPr defaultRowHeight="14.5" x14ac:dyDescent="0.35"/>
  <cols>
    <col min="1" max="1" width="14.1796875" bestFit="1" customWidth="1"/>
    <col min="2" max="3" width="11.26953125" bestFit="1" customWidth="1"/>
    <col min="4" max="4" width="6.81640625" bestFit="1" customWidth="1"/>
    <col min="5" max="5" width="6.1796875" bestFit="1" customWidth="1"/>
    <col min="6" max="6" width="7.6328125" bestFit="1" customWidth="1"/>
  </cols>
  <sheetData>
    <row r="3" spans="1:23" x14ac:dyDescent="0.35">
      <c r="A3" s="8" t="s">
        <v>7</v>
      </c>
      <c r="B3" t="s">
        <v>6215</v>
      </c>
    </row>
    <row r="4" spans="1:23" x14ac:dyDescent="0.35">
      <c r="A4" t="s">
        <v>28</v>
      </c>
      <c r="B4" s="10">
        <v>1140.8700000000001</v>
      </c>
    </row>
    <row r="5" spans="1:23" x14ac:dyDescent="0.35">
      <c r="A5" t="s">
        <v>318</v>
      </c>
      <c r="B5" s="10">
        <v>1334.53</v>
      </c>
    </row>
    <row r="6" spans="1:23" x14ac:dyDescent="0.35">
      <c r="A6" t="s">
        <v>19</v>
      </c>
      <c r="B6" s="10">
        <v>9428.3900000000031</v>
      </c>
      <c r="W6" t="s">
        <v>6216</v>
      </c>
    </row>
    <row r="7" spans="1:23" x14ac:dyDescent="0.35">
      <c r="W7" t="s">
        <v>6217</v>
      </c>
    </row>
    <row r="8" spans="1:23" x14ac:dyDescent="0.35">
      <c r="W8" t="s">
        <v>6218</v>
      </c>
    </row>
    <row r="9" spans="1:23" x14ac:dyDescent="0.35">
      <c r="W9" t="s">
        <v>6219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0DCB-FCAC-4595-913C-B4491A1A658A}">
  <dimension ref="A3:W9"/>
  <sheetViews>
    <sheetView workbookViewId="0">
      <selection activeCell="B4" sqref="B4:B6"/>
    </sheetView>
  </sheetViews>
  <sheetFormatPr defaultRowHeight="14.5" x14ac:dyDescent="0.35"/>
  <cols>
    <col min="1" max="1" width="16.7265625" bestFit="1" customWidth="1"/>
    <col min="2" max="3" width="11.26953125" bestFit="1" customWidth="1"/>
    <col min="4" max="4" width="6.81640625" bestFit="1" customWidth="1"/>
    <col min="5" max="5" width="6.1796875" bestFit="1" customWidth="1"/>
    <col min="6" max="6" width="7.6328125" bestFit="1" customWidth="1"/>
  </cols>
  <sheetData>
    <row r="3" spans="1:23" x14ac:dyDescent="0.35">
      <c r="A3" s="8" t="s">
        <v>4</v>
      </c>
      <c r="B3" t="s">
        <v>6215</v>
      </c>
    </row>
    <row r="4" spans="1:23" x14ac:dyDescent="0.35">
      <c r="A4" t="s">
        <v>2246</v>
      </c>
      <c r="B4" s="10">
        <v>193.63499999999996</v>
      </c>
    </row>
    <row r="5" spans="1:23" x14ac:dyDescent="0.35">
      <c r="A5" t="s">
        <v>2454</v>
      </c>
      <c r="B5" s="10">
        <v>204.92999999999995</v>
      </c>
    </row>
    <row r="6" spans="1:23" x14ac:dyDescent="0.35">
      <c r="A6" t="s">
        <v>1472</v>
      </c>
      <c r="B6" s="10">
        <v>204.92999999999995</v>
      </c>
      <c r="W6" t="s">
        <v>6216</v>
      </c>
    </row>
    <row r="7" spans="1:23" x14ac:dyDescent="0.35">
      <c r="A7" t="s">
        <v>3753</v>
      </c>
      <c r="B7" s="10">
        <v>219.81</v>
      </c>
      <c r="W7" t="s">
        <v>6217</v>
      </c>
    </row>
    <row r="8" spans="1:23" x14ac:dyDescent="0.35">
      <c r="A8" t="s">
        <v>5114</v>
      </c>
      <c r="B8" s="10">
        <v>237.81999999999996</v>
      </c>
      <c r="W8" t="s">
        <v>6218</v>
      </c>
    </row>
    <row r="9" spans="1:23" x14ac:dyDescent="0.35">
      <c r="W9" t="s">
        <v>6219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2" sqref="P2"/>
    </sheetView>
  </sheetViews>
  <sheetFormatPr defaultRowHeight="14.5" x14ac:dyDescent="0.35"/>
  <cols>
    <col min="1" max="1" width="15.1796875" bestFit="1" customWidth="1"/>
    <col min="2" max="2" width="11.81640625" bestFit="1" customWidth="1"/>
    <col min="3" max="3" width="16" bestFit="1" customWidth="1"/>
    <col min="4" max="4" width="11.08984375" customWidth="1"/>
    <col min="5" max="5" width="9.6328125" customWidth="1"/>
    <col min="6" max="6" width="22.1796875" bestFit="1" customWidth="1"/>
    <col min="7" max="7" width="36.1796875" bestFit="1" customWidth="1"/>
    <col min="8" max="8" width="14.1796875" bestFit="1" customWidth="1"/>
    <col min="9" max="9" width="12.26953125" customWidth="1"/>
    <col min="10" max="10" width="11.453125" customWidth="1"/>
    <col min="11" max="11" width="5.7265625" customWidth="1"/>
    <col min="12" max="12" width="11.7265625" customWidth="1"/>
    <col min="13" max="13" width="8.81640625" bestFit="1" customWidth="1"/>
    <col min="14" max="14" width="17.54296875" customWidth="1"/>
    <col min="15" max="15" width="16.7265625" customWidth="1"/>
    <col min="16" max="16" width="11" bestFit="1" customWidth="1"/>
  </cols>
  <sheetData>
    <row r="1" spans="1:16" x14ac:dyDescent="0.35">
      <c r="A1" s="2" t="s">
        <v>0</v>
      </c>
      <c r="B1" s="2" t="s">
        <v>1</v>
      </c>
      <c r="C1" s="2" t="s">
        <v>3</v>
      </c>
      <c r="D1" s="2" t="s">
        <v>11</v>
      </c>
      <c r="E1" s="2" t="s">
        <v>14</v>
      </c>
      <c r="F1" s="2" t="s">
        <v>4</v>
      </c>
      <c r="G1" s="2" t="s">
        <v>2</v>
      </c>
      <c r="H1" s="2" t="s">
        <v>7</v>
      </c>
      <c r="I1" s="2" t="s">
        <v>9</v>
      </c>
      <c r="J1" s="2" t="s">
        <v>10</v>
      </c>
      <c r="K1" s="4" t="s">
        <v>12</v>
      </c>
      <c r="L1" s="6" t="s">
        <v>13</v>
      </c>
      <c r="M1" s="6"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L2*E2</f>
        <v>19.899999999999999</v>
      </c>
      <c r="N2" t="str">
        <f>IF(I2="Rob","Robasta",IF(I2="Exc","Excelsa",IF(I2="Ara","Arabica",IF(I2="Lib","Librica",""))))</f>
        <v>Robasta</v>
      </c>
      <c r="O2" t="str">
        <f>IF(J2="M","Medium",IF(J2="L","Large",IF(J2="S","Small",IF(J2="D","Dark",""))))</f>
        <v>Medium</v>
      </c>
      <c r="P2" t="str">
        <f>_xlfn.XLOOKUP(Table1[[#This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L3*E3</f>
        <v>41.25</v>
      </c>
      <c r="N3" t="str">
        <f t="shared" ref="N3:N66" si="1">IF(I3="Rob","Robasta",IF(I3="Exc","Excelsa",IF(I3="Ara","Arabica",IF(I3="Lib","Librica",""))))</f>
        <v>Excelsa</v>
      </c>
      <c r="O3" t="str">
        <f t="shared" ref="O3:O66" si="2">IF(J3="M","Medium",IF(J3="L","Large",IF(J3="S","Small",IF(J3="D","Dark",""))))</f>
        <v>Medium</v>
      </c>
      <c r="P3" t="str">
        <f>_xlfn.XLOOKUP(Table1[[#This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Arabica</v>
      </c>
      <c r="O4" t="str">
        <f t="shared" si="2"/>
        <v>Large</v>
      </c>
      <c r="P4" t="str">
        <f>_xlfn.XLOOKUP(Table1[[#This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_xlfn.XLOOKUP(Table1[[#This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Robasta</v>
      </c>
      <c r="O6" t="str">
        <f t="shared" si="2"/>
        <v>Large</v>
      </c>
      <c r="P6" t="str">
        <f>_xlfn.XLOOKUP(Table1[[#This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Librica</v>
      </c>
      <c r="O7" t="str">
        <f t="shared" si="2"/>
        <v>Dark</v>
      </c>
      <c r="P7" t="str">
        <f>_xlfn.XLOOKUP(Table1[[#This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_xlfn.XLOOKUP(Table1[[#This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Librica</v>
      </c>
      <c r="O9" t="str">
        <f t="shared" si="2"/>
        <v>Large</v>
      </c>
      <c r="P9" t="str">
        <f>_xlfn.XLOOKUP(Table1[[#This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Robasta</v>
      </c>
      <c r="O10" t="str">
        <f t="shared" si="2"/>
        <v>Medium</v>
      </c>
      <c r="P10" t="str">
        <f>_xlfn.XLOOKUP(Table1[[#This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Robasta</v>
      </c>
      <c r="O11" t="str">
        <f t="shared" si="2"/>
        <v>Medium</v>
      </c>
      <c r="P11" t="str">
        <f>_xlfn.XLOOKUP(Table1[[#This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_xlfn.XLOOKUP(Table1[[#This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Large</v>
      </c>
      <c r="P13" t="str">
        <f>_xlfn.XLOOKUP(Table1[[#This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Robasta</v>
      </c>
      <c r="O14" t="str">
        <f t="shared" si="2"/>
        <v>Medium</v>
      </c>
      <c r="P14" t="str">
        <f>_xlfn.XLOOKUP(Table1[[#This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Robasta</v>
      </c>
      <c r="O15" t="str">
        <f t="shared" si="2"/>
        <v>Dark</v>
      </c>
      <c r="P15" t="str">
        <f>_xlfn.XLOOKUP(Table1[[#This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Librica</v>
      </c>
      <c r="O16" t="str">
        <f t="shared" si="2"/>
        <v>Dark</v>
      </c>
      <c r="P16" t="str">
        <f>_xlfn.XLOOKUP(Table1[[#This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Robasta</v>
      </c>
      <c r="O17" t="str">
        <f t="shared" si="2"/>
        <v>Medium</v>
      </c>
      <c r="P17" t="str">
        <f>_xlfn.XLOOKUP(Table1[[#This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_xlfn.XLOOKUP(Table1[[#This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Large</v>
      </c>
      <c r="P19" t="str">
        <f>_xlfn.XLOOKUP(Table1[[#This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Robasta</v>
      </c>
      <c r="O20" t="str">
        <f t="shared" si="2"/>
        <v>Dark</v>
      </c>
      <c r="P20" t="str">
        <f>_xlfn.XLOOKUP(Table1[[#This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_xlfn.XLOOKUP(Table1[[#This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_xlfn.XLOOKUP(Table1[[#This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_xlfn.XLOOKUP(Table1[[#This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Robasta</v>
      </c>
      <c r="O24" t="str">
        <f t="shared" si="2"/>
        <v>Medium</v>
      </c>
      <c r="P24" t="str">
        <f>_xlfn.XLOOKUP(Table1[[#This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_xlfn.XLOOKUP(Table1[[#This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_xlfn.XLOOKUP(Table1[[#This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_xlfn.XLOOKUP(Table1[[#This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_xlfn.XLOOKUP(Table1[[#This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_xlfn.XLOOKUP(Table1[[#This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_xlfn.XLOOKUP(Table1[[#This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_xlfn.XLOOKUP(Table1[[#This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Librica</v>
      </c>
      <c r="O32" t="str">
        <f t="shared" si="2"/>
        <v>Medium</v>
      </c>
      <c r="P32" t="str">
        <f>_xlfn.XLOOKUP(Table1[[#This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_xlfn.XLOOKUP(Table1[[#This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Librica</v>
      </c>
      <c r="O34" t="str">
        <f t="shared" si="2"/>
        <v>Medium</v>
      </c>
      <c r="P34" t="str">
        <f>_xlfn.XLOOKUP(Table1[[#This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Librica</v>
      </c>
      <c r="O35" t="str">
        <f t="shared" si="2"/>
        <v>Large</v>
      </c>
      <c r="P35" t="str">
        <f>_xlfn.XLOOKUP(Table1[[#This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Librica</v>
      </c>
      <c r="O36" t="str">
        <f t="shared" si="2"/>
        <v>Large</v>
      </c>
      <c r="P36" t="str">
        <f>_xlfn.XLOOKUP(Table1[[#This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_xlfn.XLOOKUP(Table1[[#This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Librica</v>
      </c>
      <c r="O38" t="str">
        <f t="shared" si="2"/>
        <v>Medium</v>
      </c>
      <c r="P38" t="str">
        <f>_xlfn.XLOOKUP(Table1[[#This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Librica</v>
      </c>
      <c r="O39" t="str">
        <f t="shared" si="2"/>
        <v>Large</v>
      </c>
      <c r="P39" t="str">
        <f>_xlfn.XLOOKUP(Table1[[#This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Robasta</v>
      </c>
      <c r="O40" t="str">
        <f t="shared" si="2"/>
        <v>Medium</v>
      </c>
      <c r="P40" t="str">
        <f>_xlfn.XLOOKUP(Table1[[#This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Robasta</v>
      </c>
      <c r="O41" t="str">
        <f t="shared" si="2"/>
        <v>Medium</v>
      </c>
      <c r="P41" t="str">
        <f>_xlfn.XLOOKUP(Table1[[#This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Librica</v>
      </c>
      <c r="O42" t="str">
        <f t="shared" si="2"/>
        <v>Medium</v>
      </c>
      <c r="P42" t="str">
        <f>_xlfn.XLOOKUP(Table1[[#This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_xlfn.XLOOKUP(Table1[[#This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Robasta</v>
      </c>
      <c r="O44" t="str">
        <f t="shared" si="2"/>
        <v>Dark</v>
      </c>
      <c r="P44" t="str">
        <f>_xlfn.XLOOKUP(Table1[[#This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Librica</v>
      </c>
      <c r="O45" t="str">
        <f t="shared" si="2"/>
        <v>Large</v>
      </c>
      <c r="P45" t="str">
        <f>_xlfn.XLOOKUP(Table1[[#This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_xlfn.XLOOKUP(Table1[[#This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Librica</v>
      </c>
      <c r="O47" t="str">
        <f t="shared" si="2"/>
        <v>Dark</v>
      </c>
      <c r="P47" t="str">
        <f>_xlfn.XLOOKUP(Table1[[#This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_xlfn.XLOOKUP(Table1[[#This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Large</v>
      </c>
      <c r="P49" t="str">
        <f>_xlfn.XLOOKUP(Table1[[#This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_xlfn.XLOOKUP(Table1[[#This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Large</v>
      </c>
      <c r="P51" t="str">
        <f>_xlfn.XLOOKUP(Table1[[#This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Librica</v>
      </c>
      <c r="O52" t="str">
        <f t="shared" si="2"/>
        <v>Dark</v>
      </c>
      <c r="P52" t="str">
        <f>_xlfn.XLOOKUP(Table1[[#This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Librica</v>
      </c>
      <c r="O53" t="str">
        <f t="shared" si="2"/>
        <v>Large</v>
      </c>
      <c r="P53" t="str">
        <f>_xlfn.XLOOKUP(Table1[[#This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Robasta</v>
      </c>
      <c r="O54" t="str">
        <f t="shared" si="2"/>
        <v>Medium</v>
      </c>
      <c r="P54" t="str">
        <f>_xlfn.XLOOKUP(Table1[[#This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Librica</v>
      </c>
      <c r="O55" t="str">
        <f t="shared" si="2"/>
        <v>Large</v>
      </c>
      <c r="P55" t="str">
        <f>_xlfn.XLOOKUP(Table1[[#This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Librica</v>
      </c>
      <c r="O56" t="str">
        <f t="shared" si="2"/>
        <v>Medium</v>
      </c>
      <c r="P56" t="str">
        <f>_xlfn.XLOOKUP(Table1[[#This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Librica</v>
      </c>
      <c r="O57" t="str">
        <f t="shared" si="2"/>
        <v>Large</v>
      </c>
      <c r="P57" t="str">
        <f>_xlfn.XLOOKUP(Table1[[#This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_xlfn.XLOOKUP(Table1[[#This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Large</v>
      </c>
      <c r="P59" t="str">
        <f>_xlfn.XLOOKUP(Table1[[#This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Librica</v>
      </c>
      <c r="O60" t="str">
        <f t="shared" si="2"/>
        <v>Dark</v>
      </c>
      <c r="P60" t="str">
        <f>_xlfn.XLOOKUP(Table1[[#This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Librica</v>
      </c>
      <c r="O61" t="str">
        <f t="shared" si="2"/>
        <v>Medium</v>
      </c>
      <c r="P61" t="str">
        <f>_xlfn.XLOOKUP(Table1[[#This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_xlfn.XLOOKUP(Table1[[#This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Robasta</v>
      </c>
      <c r="O63" t="str">
        <f t="shared" si="2"/>
        <v>Dark</v>
      </c>
      <c r="P63" t="str">
        <f>_xlfn.XLOOKUP(Table1[[#This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Librica</v>
      </c>
      <c r="O64" t="str">
        <f t="shared" si="2"/>
        <v>Large</v>
      </c>
      <c r="P64" t="str">
        <f>_xlfn.XLOOKUP(Table1[[#This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_xlfn.XLOOKUP(Table1[[#This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 t="shared" si="1"/>
        <v>Robasta</v>
      </c>
      <c r="O66" t="str">
        <f t="shared" si="2"/>
        <v>Medium</v>
      </c>
      <c r="P66" t="str">
        <f>_xlfn.XLOOKUP(Table1[[#This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IF(I67="Rob","Robasta",IF(I67="Exc","Excelsa",IF(I67="Ara","Arabica",IF(I67="Lib","Librica",""))))</f>
        <v>Robasta</v>
      </c>
      <c r="O67" t="str">
        <f t="shared" ref="O67:O130" si="5">IF(J67="M","Medium",IF(J67="L","Large",IF(J67="S","Small",IF(J67="D","Dark",""))))</f>
        <v>Dark</v>
      </c>
      <c r="P67" t="str">
        <f>_xlfn.XLOOKUP(Table1[[#This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Robasta</v>
      </c>
      <c r="O68" t="str">
        <f t="shared" si="5"/>
        <v>Large</v>
      </c>
      <c r="P68" t="str">
        <f>_xlfn.XLOOKUP(Table1[[#This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Librica</v>
      </c>
      <c r="O69" t="str">
        <f t="shared" si="5"/>
        <v>Large</v>
      </c>
      <c r="P69" t="str">
        <f>_xlfn.XLOOKUP(Table1[[#This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Robasta</v>
      </c>
      <c r="O70" t="str">
        <f t="shared" si="5"/>
        <v>Medium</v>
      </c>
      <c r="P70" t="str">
        <f>_xlfn.XLOOKUP(Table1[[#This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Robasta</v>
      </c>
      <c r="O71" t="str">
        <f t="shared" si="5"/>
        <v>Medium</v>
      </c>
      <c r="P71" t="str">
        <f>_xlfn.XLOOKUP(Table1[[#This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Large</v>
      </c>
      <c r="P72" t="str">
        <f>_xlfn.XLOOKUP(Table1[[#This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Librica</v>
      </c>
      <c r="O73" t="str">
        <f t="shared" si="5"/>
        <v>Large</v>
      </c>
      <c r="P73" t="str">
        <f>_xlfn.XLOOKUP(Table1[[#This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_xlfn.XLOOKUP(Table1[[#This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Librica</v>
      </c>
      <c r="O75" t="str">
        <f t="shared" si="5"/>
        <v>Medium</v>
      </c>
      <c r="P75" t="str">
        <f>_xlfn.XLOOKUP(Table1[[#This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Large</v>
      </c>
      <c r="P76" t="str">
        <f>_xlfn.XLOOKUP(Table1[[#This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Robasta</v>
      </c>
      <c r="O77" t="str">
        <f t="shared" si="5"/>
        <v>Dark</v>
      </c>
      <c r="P77" t="str">
        <f>_xlfn.XLOOKUP(Table1[[#This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Robasta</v>
      </c>
      <c r="O78" t="str">
        <f t="shared" si="5"/>
        <v>Large</v>
      </c>
      <c r="P78" t="str">
        <f>_xlfn.XLOOKUP(Table1[[#This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_xlfn.XLOOKUP(Table1[[#This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_xlfn.XLOOKUP(Table1[[#This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Robasta</v>
      </c>
      <c r="O81" t="str">
        <f t="shared" si="5"/>
        <v>Large</v>
      </c>
      <c r="P81" t="str">
        <f>_xlfn.XLOOKUP(Table1[[#This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Large</v>
      </c>
      <c r="P82" t="str">
        <f>_xlfn.XLOOKUP(Table1[[#This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Librica</v>
      </c>
      <c r="O83" t="str">
        <f t="shared" si="5"/>
        <v>Large</v>
      </c>
      <c r="P83" t="str">
        <f>_xlfn.XLOOKUP(Table1[[#This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Librica</v>
      </c>
      <c r="O84" t="str">
        <f t="shared" si="5"/>
        <v>Medium</v>
      </c>
      <c r="P84" t="str">
        <f>_xlfn.XLOOKUP(Table1[[#This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Robasta</v>
      </c>
      <c r="O85" t="str">
        <f t="shared" si="5"/>
        <v>Dark</v>
      </c>
      <c r="P85" t="str">
        <f>_xlfn.XLOOKUP(Table1[[#This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Librica</v>
      </c>
      <c r="O86" t="str">
        <f t="shared" si="5"/>
        <v>Large</v>
      </c>
      <c r="P86" t="str">
        <f>_xlfn.XLOOKUP(Table1[[#This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Large</v>
      </c>
      <c r="P87" t="str">
        <f>_xlfn.XLOOKUP(Table1[[#This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_xlfn.XLOOKUP(Table1[[#This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_xlfn.XLOOKUP(Table1[[#This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Robasta</v>
      </c>
      <c r="O90" t="str">
        <f t="shared" si="5"/>
        <v>Large</v>
      </c>
      <c r="P90" t="str">
        <f>_xlfn.XLOOKUP(Table1[[#This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Large</v>
      </c>
      <c r="P91" t="str">
        <f>_xlfn.XLOOKUP(Table1[[#This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Arabica</v>
      </c>
      <c r="O92" t="str">
        <f t="shared" si="5"/>
        <v>Large</v>
      </c>
      <c r="P92" t="str">
        <f>_xlfn.XLOOKUP(Table1[[#This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_xlfn.XLOOKUP(Table1[[#This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Large</v>
      </c>
      <c r="P94" t="str">
        <f>_xlfn.XLOOKUP(Table1[[#This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Large</v>
      </c>
      <c r="P95" t="str">
        <f>_xlfn.XLOOKUP(Table1[[#This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_xlfn.XLOOKUP(Table1[[#This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_xlfn.XLOOKUP(Table1[[#This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_xlfn.XLOOKUP(Table1[[#This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_xlfn.XLOOKUP(Table1[[#This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_xlfn.XLOOKUP(Table1[[#This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Librica</v>
      </c>
      <c r="O101" t="str">
        <f t="shared" si="5"/>
        <v>Medium</v>
      </c>
      <c r="P101" t="str">
        <f>_xlfn.XLOOKUP(Table1[[#This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Large</v>
      </c>
      <c r="P102" t="str">
        <f>_xlfn.XLOOKUP(Table1[[#This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Librica</v>
      </c>
      <c r="O103" t="str">
        <f t="shared" si="5"/>
        <v>Dark</v>
      </c>
      <c r="P103" t="str">
        <f>_xlfn.XLOOKUP(Table1[[#This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Librica</v>
      </c>
      <c r="O104" t="str">
        <f t="shared" si="5"/>
        <v>Dark</v>
      </c>
      <c r="P104" t="str">
        <f>_xlfn.XLOOKUP(Table1[[#This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Robasta</v>
      </c>
      <c r="O105" t="str">
        <f t="shared" si="5"/>
        <v>Medium</v>
      </c>
      <c r="P105" t="str">
        <f>_xlfn.XLOOKUP(Table1[[#This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Librica</v>
      </c>
      <c r="O106" t="str">
        <f t="shared" si="5"/>
        <v>Medium</v>
      </c>
      <c r="P106" t="str">
        <f>_xlfn.XLOOKUP(Table1[[#This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_xlfn.XLOOKUP(Table1[[#This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_xlfn.XLOOKUP(Table1[[#This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Robasta</v>
      </c>
      <c r="O109" t="str">
        <f t="shared" si="5"/>
        <v>Medium</v>
      </c>
      <c r="P109" t="str">
        <f>_xlfn.XLOOKUP(Table1[[#This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_xlfn.XLOOKUP(Table1[[#This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Librica</v>
      </c>
      <c r="O111" t="str">
        <f t="shared" si="5"/>
        <v>Dark</v>
      </c>
      <c r="P111" t="str">
        <f>_xlfn.XLOOKUP(Table1[[#This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Large</v>
      </c>
      <c r="P112" t="str">
        <f>_xlfn.XLOOKUP(Table1[[#This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Robasta</v>
      </c>
      <c r="O113" t="str">
        <f t="shared" si="5"/>
        <v>Dark</v>
      </c>
      <c r="P113" t="str">
        <f>_xlfn.XLOOKUP(Table1[[#This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_xlfn.XLOOKUP(Table1[[#This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Librica</v>
      </c>
      <c r="O115" t="str">
        <f t="shared" si="5"/>
        <v>Medium</v>
      </c>
      <c r="P115" t="str">
        <f>_xlfn.XLOOKUP(Table1[[#This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Robasta</v>
      </c>
      <c r="O116" t="str">
        <f t="shared" si="5"/>
        <v>Large</v>
      </c>
      <c r="P116" t="str">
        <f>_xlfn.XLOOKUP(Table1[[#This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Librica</v>
      </c>
      <c r="O117" t="str">
        <f t="shared" si="5"/>
        <v>Large</v>
      </c>
      <c r="P117" t="str">
        <f>_xlfn.XLOOKUP(Table1[[#This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Librica</v>
      </c>
      <c r="O118" t="str">
        <f t="shared" si="5"/>
        <v>Large</v>
      </c>
      <c r="P118" t="str">
        <f>_xlfn.XLOOKUP(Table1[[#This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Librica</v>
      </c>
      <c r="O119" t="str">
        <f t="shared" si="5"/>
        <v>Large</v>
      </c>
      <c r="P119" t="str">
        <f>_xlfn.XLOOKUP(Table1[[#This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_xlfn.XLOOKUP(Table1[[#This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_xlfn.XLOOKUP(Table1[[#This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Large</v>
      </c>
      <c r="P122" t="str">
        <f>_xlfn.XLOOKUP(Table1[[#This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_xlfn.XLOOKUP(Table1[[#This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_xlfn.XLOOKUP(Table1[[#This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Librica</v>
      </c>
      <c r="O125" t="str">
        <f t="shared" si="5"/>
        <v>Large</v>
      </c>
      <c r="P125" t="str">
        <f>_xlfn.XLOOKUP(Table1[[#This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Librica</v>
      </c>
      <c r="O126" t="str">
        <f t="shared" si="5"/>
        <v>Medium</v>
      </c>
      <c r="P126" t="str">
        <f>_xlfn.XLOOKUP(Table1[[#This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Librica</v>
      </c>
      <c r="O127" t="str">
        <f t="shared" si="5"/>
        <v>Medium</v>
      </c>
      <c r="P127" t="str">
        <f>_xlfn.XLOOKUP(Table1[[#This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_xlfn.XLOOKUP(Table1[[#This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Librica</v>
      </c>
      <c r="O129" t="str">
        <f t="shared" si="5"/>
        <v>Dark</v>
      </c>
      <c r="P129" t="str">
        <f>_xlfn.XLOOKUP(Table1[[#This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_xlfn.XLOOKUP(Table1[[#This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IF(I131="Rob","Robasta",IF(I131="Exc","Excelsa",IF(I131="Ara","Arabica",IF(I131="Lib","Librica",""))))</f>
        <v>Excelsa</v>
      </c>
      <c r="O131" t="str">
        <f t="shared" ref="O131:O194" si="8">IF(J131="M","Medium",IF(J131="L","Large",IF(J131="S","Small",IF(J131="D","Dark",""))))</f>
        <v>Dark</v>
      </c>
      <c r="P131" t="str">
        <f>_xlfn.XLOOKUP(Table1[[#This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Large</v>
      </c>
      <c r="P132" t="str">
        <f>_xlfn.XLOOKUP(Table1[[#This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_xlfn.XLOOKUP(Table1[[#This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Large</v>
      </c>
      <c r="P134" t="str">
        <f>_xlfn.XLOOKUP(Table1[[#This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Librica</v>
      </c>
      <c r="O135" t="str">
        <f t="shared" si="8"/>
        <v>Dark</v>
      </c>
      <c r="P135" t="str">
        <f>_xlfn.XLOOKUP(Table1[[#This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_xlfn.XLOOKUP(Table1[[#This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Large</v>
      </c>
      <c r="P137" t="str">
        <f>_xlfn.XLOOKUP(Table1[[#This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_xlfn.XLOOKUP(Table1[[#This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Large</v>
      </c>
      <c r="P139" t="str">
        <f>_xlfn.XLOOKUP(Table1[[#This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_xlfn.XLOOKUP(Table1[[#This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Librica</v>
      </c>
      <c r="O141" t="str">
        <f t="shared" si="8"/>
        <v>Dark</v>
      </c>
      <c r="P141" t="str">
        <f>_xlfn.XLOOKUP(Table1[[#This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Librica</v>
      </c>
      <c r="O142" t="str">
        <f t="shared" si="8"/>
        <v>Dark</v>
      </c>
      <c r="P142" t="str">
        <f>_xlfn.XLOOKUP(Table1[[#This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Large</v>
      </c>
      <c r="P143" t="str">
        <f>_xlfn.XLOOKUP(Table1[[#This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Large</v>
      </c>
      <c r="P144" t="str">
        <f>_xlfn.XLOOKUP(Table1[[#This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Librica</v>
      </c>
      <c r="O145" t="str">
        <f t="shared" si="8"/>
        <v>Medium</v>
      </c>
      <c r="P145" t="str">
        <f>_xlfn.XLOOKUP(Table1[[#This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Large</v>
      </c>
      <c r="P146" t="str">
        <f>_xlfn.XLOOKUP(Table1[[#This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Librica</v>
      </c>
      <c r="O147" t="str">
        <f t="shared" si="8"/>
        <v>Medium</v>
      </c>
      <c r="P147" t="str">
        <f>_xlfn.XLOOKUP(Table1[[#This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Librica</v>
      </c>
      <c r="O148" t="str">
        <f t="shared" si="8"/>
        <v>Medium</v>
      </c>
      <c r="P148" t="str">
        <f>_xlfn.XLOOKUP(Table1[[#This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_xlfn.XLOOKUP(Table1[[#This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_xlfn.XLOOKUP(Table1[[#This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_xlfn.XLOOKUP(Table1[[#This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Librica</v>
      </c>
      <c r="O152" t="str">
        <f t="shared" si="8"/>
        <v>Dark</v>
      </c>
      <c r="P152" t="str">
        <f>_xlfn.XLOOKUP(Table1[[#This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_xlfn.XLOOKUP(Table1[[#This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Robasta</v>
      </c>
      <c r="O154" t="str">
        <f t="shared" si="8"/>
        <v>Medium</v>
      </c>
      <c r="P154" t="str">
        <f>_xlfn.XLOOKUP(Table1[[#This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Robasta</v>
      </c>
      <c r="O155" t="str">
        <f t="shared" si="8"/>
        <v>Dark</v>
      </c>
      <c r="P155" t="str">
        <f>_xlfn.XLOOKUP(Table1[[#This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_xlfn.XLOOKUP(Table1[[#This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_xlfn.XLOOKUP(Table1[[#This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_xlfn.XLOOKUP(Table1[[#This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Robasta</v>
      </c>
      <c r="O159" t="str">
        <f t="shared" si="8"/>
        <v>Dark</v>
      </c>
      <c r="P159" t="str">
        <f>_xlfn.XLOOKUP(Table1[[#This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Robasta</v>
      </c>
      <c r="O160" t="str">
        <f t="shared" si="8"/>
        <v>Dark</v>
      </c>
      <c r="P160" t="str">
        <f>_xlfn.XLOOKUP(Table1[[#This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Librica</v>
      </c>
      <c r="O161" t="str">
        <f t="shared" si="8"/>
        <v>Large</v>
      </c>
      <c r="P161" t="str">
        <f>_xlfn.XLOOKUP(Table1[[#This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_xlfn.XLOOKUP(Table1[[#This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Large</v>
      </c>
      <c r="P163" t="str">
        <f>_xlfn.XLOOKUP(Table1[[#This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_xlfn.XLOOKUP(Table1[[#This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Robasta</v>
      </c>
      <c r="O165" t="str">
        <f t="shared" si="8"/>
        <v>Dark</v>
      </c>
      <c r="P165" t="str">
        <f>_xlfn.XLOOKUP(Table1[[#This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_xlfn.XLOOKUP(Table1[[#This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Robasta</v>
      </c>
      <c r="O167" t="str">
        <f t="shared" si="8"/>
        <v>Dark</v>
      </c>
      <c r="P167" t="str">
        <f>_xlfn.XLOOKUP(Table1[[#This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Robasta</v>
      </c>
      <c r="O168" t="str">
        <f t="shared" si="8"/>
        <v>Dark</v>
      </c>
      <c r="P168" t="str">
        <f>_xlfn.XLOOKUP(Table1[[#This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_xlfn.XLOOKUP(Table1[[#This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_xlfn.XLOOKUP(Table1[[#This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Robasta</v>
      </c>
      <c r="O171" t="str">
        <f t="shared" si="8"/>
        <v>Dark</v>
      </c>
      <c r="P171" t="str">
        <f>_xlfn.XLOOKUP(Table1[[#This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Large</v>
      </c>
      <c r="P172" t="str">
        <f>_xlfn.XLOOKUP(Table1[[#This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_xlfn.XLOOKUP(Table1[[#This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_xlfn.XLOOKUP(Table1[[#This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Robasta</v>
      </c>
      <c r="O175" t="str">
        <f t="shared" si="8"/>
        <v>Medium</v>
      </c>
      <c r="P175" t="str">
        <f>_xlfn.XLOOKUP(Table1[[#This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Large</v>
      </c>
      <c r="P176" t="str">
        <f>_xlfn.XLOOKUP(Table1[[#This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_xlfn.XLOOKUP(Table1[[#This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Large</v>
      </c>
      <c r="P178" t="str">
        <f>_xlfn.XLOOKUP(Table1[[#This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Robasta</v>
      </c>
      <c r="O179" t="str">
        <f t="shared" si="8"/>
        <v>Large</v>
      </c>
      <c r="P179" t="str">
        <f>_xlfn.XLOOKUP(Table1[[#This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Large</v>
      </c>
      <c r="P180" t="str">
        <f>_xlfn.XLOOKUP(Table1[[#This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_xlfn.XLOOKUP(Table1[[#This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Large</v>
      </c>
      <c r="P182" t="str">
        <f>_xlfn.XLOOKUP(Table1[[#This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_xlfn.XLOOKUP(Table1[[#This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Robasta</v>
      </c>
      <c r="O184" t="str">
        <f t="shared" si="8"/>
        <v>Dark</v>
      </c>
      <c r="P184" t="str">
        <f>_xlfn.XLOOKUP(Table1[[#This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_xlfn.XLOOKUP(Table1[[#This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Large</v>
      </c>
      <c r="P186" t="str">
        <f>_xlfn.XLOOKUP(Table1[[#This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_xlfn.XLOOKUP(Table1[[#This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Robasta</v>
      </c>
      <c r="O188" t="str">
        <f t="shared" si="8"/>
        <v>Medium</v>
      </c>
      <c r="P188" t="str">
        <f>_xlfn.XLOOKUP(Table1[[#This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Librica</v>
      </c>
      <c r="O189" t="str">
        <f t="shared" si="8"/>
        <v>Medium</v>
      </c>
      <c r="P189" t="str">
        <f>_xlfn.XLOOKUP(Table1[[#This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Large</v>
      </c>
      <c r="P190" t="str">
        <f>_xlfn.XLOOKUP(Table1[[#This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Librica</v>
      </c>
      <c r="O191" t="str">
        <f t="shared" si="8"/>
        <v>Medium</v>
      </c>
      <c r="P191" t="str">
        <f>_xlfn.XLOOKUP(Table1[[#This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Librica</v>
      </c>
      <c r="O192" t="str">
        <f t="shared" si="8"/>
        <v>Medium</v>
      </c>
      <c r="P192" t="str">
        <f>_xlfn.XLOOKUP(Table1[[#This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Librica</v>
      </c>
      <c r="O193" t="str">
        <f t="shared" si="8"/>
        <v>Dark</v>
      </c>
      <c r="P193" t="str">
        <f>_xlfn.XLOOKUP(Table1[[#This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_xlfn.XLOOKUP(Table1[[#This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IF(I195="Rob","Robasta",IF(I195="Exc","Excelsa",IF(I195="Ara","Arabica",IF(I195="Lib","Librica",""))))</f>
        <v>Excelsa</v>
      </c>
      <c r="O195" t="str">
        <f t="shared" ref="O195:O258" si="11">IF(J195="M","Medium",IF(J195="L","Large",IF(J195="S","Small",IF(J195="D","Dark",""))))</f>
        <v>Large</v>
      </c>
      <c r="P195" t="str">
        <f>_xlfn.XLOOKUP(Table1[[#This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_xlfn.XLOOKUP(Table1[[#This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Large</v>
      </c>
      <c r="P197" t="str">
        <f>_xlfn.XLOOKUP(Table1[[#This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Large</v>
      </c>
      <c r="P198" t="str">
        <f>_xlfn.XLOOKUP(Table1[[#This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Librica</v>
      </c>
      <c r="O199" t="str">
        <f t="shared" si="11"/>
        <v>Dark</v>
      </c>
      <c r="P199" t="str">
        <f>_xlfn.XLOOKUP(Table1[[#This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Librica</v>
      </c>
      <c r="O200" t="str">
        <f t="shared" si="11"/>
        <v>Dark</v>
      </c>
      <c r="P200" t="str">
        <f>_xlfn.XLOOKUP(Table1[[#This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Librica</v>
      </c>
      <c r="O201" t="str">
        <f t="shared" si="11"/>
        <v>Large</v>
      </c>
      <c r="P201" t="str">
        <f>_xlfn.XLOOKUP(Table1[[#This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_xlfn.XLOOKUP(Table1[[#This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Librica</v>
      </c>
      <c r="O203" t="str">
        <f t="shared" si="11"/>
        <v>Large</v>
      </c>
      <c r="P203" t="str">
        <f>_xlfn.XLOOKUP(Table1[[#This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Librica</v>
      </c>
      <c r="O204" t="str">
        <f t="shared" si="11"/>
        <v>Dark</v>
      </c>
      <c r="P204" t="str">
        <f>_xlfn.XLOOKUP(Table1[[#This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Librica</v>
      </c>
      <c r="O205" t="str">
        <f t="shared" si="11"/>
        <v>Large</v>
      </c>
      <c r="P205" t="str">
        <f>_xlfn.XLOOKUP(Table1[[#This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_xlfn.XLOOKUP(Table1[[#This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Robasta</v>
      </c>
      <c r="O207" t="str">
        <f t="shared" si="11"/>
        <v>Dark</v>
      </c>
      <c r="P207" t="str">
        <f>_xlfn.XLOOKUP(Table1[[#This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_xlfn.XLOOKUP(Table1[[#This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_xlfn.XLOOKUP(Table1[[#This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_xlfn.XLOOKUP(Table1[[#This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_xlfn.XLOOKUP(Table1[[#This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Librica</v>
      </c>
      <c r="O212" t="str">
        <f t="shared" si="11"/>
        <v>Dark</v>
      </c>
      <c r="P212" t="str">
        <f>_xlfn.XLOOKUP(Table1[[#This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Large</v>
      </c>
      <c r="P213" t="str">
        <f>_xlfn.XLOOKUP(Table1[[#This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_xlfn.XLOOKUP(Table1[[#This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Robasta</v>
      </c>
      <c r="O215" t="str">
        <f t="shared" si="11"/>
        <v>Dark</v>
      </c>
      <c r="P215" t="str">
        <f>_xlfn.XLOOKUP(Table1[[#This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Librica</v>
      </c>
      <c r="O216" t="str">
        <f t="shared" si="11"/>
        <v>Large</v>
      </c>
      <c r="P216" t="str">
        <f>_xlfn.XLOOKUP(Table1[[#This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Librica</v>
      </c>
      <c r="O217" t="str">
        <f t="shared" si="11"/>
        <v>Dark</v>
      </c>
      <c r="P217" t="str">
        <f>_xlfn.XLOOKUP(Table1[[#This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Librica</v>
      </c>
      <c r="O218" t="str">
        <f t="shared" si="11"/>
        <v>Medium</v>
      </c>
      <c r="P218" t="str">
        <f>_xlfn.XLOOKUP(Table1[[#This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Large</v>
      </c>
      <c r="P219" t="str">
        <f>_xlfn.XLOOKUP(Table1[[#This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_xlfn.XLOOKUP(Table1[[#This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Robasta</v>
      </c>
      <c r="O221" t="str">
        <f t="shared" si="11"/>
        <v>Large</v>
      </c>
      <c r="P221" t="str">
        <f>_xlfn.XLOOKUP(Table1[[#This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Robasta</v>
      </c>
      <c r="O222" t="str">
        <f t="shared" si="11"/>
        <v>Medium</v>
      </c>
      <c r="P222" t="str">
        <f>_xlfn.XLOOKUP(Table1[[#This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Large</v>
      </c>
      <c r="P223" t="str">
        <f>_xlfn.XLOOKUP(Table1[[#This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Librica</v>
      </c>
      <c r="O224" t="str">
        <f t="shared" si="11"/>
        <v>Dark</v>
      </c>
      <c r="P224" t="str">
        <f>_xlfn.XLOOKUP(Table1[[#This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Large</v>
      </c>
      <c r="P225" t="str">
        <f>_xlfn.XLOOKUP(Table1[[#This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Librica</v>
      </c>
      <c r="O226" t="str">
        <f t="shared" si="11"/>
        <v>Dark</v>
      </c>
      <c r="P226" t="str">
        <f>_xlfn.XLOOKUP(Table1[[#This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Robasta</v>
      </c>
      <c r="O227" t="str">
        <f t="shared" si="11"/>
        <v>Large</v>
      </c>
      <c r="P227" t="str">
        <f>_xlfn.XLOOKUP(Table1[[#This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_xlfn.XLOOKUP(Table1[[#This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Robasta</v>
      </c>
      <c r="O229" t="str">
        <f t="shared" si="11"/>
        <v>Dark</v>
      </c>
      <c r="P229" t="str">
        <f>_xlfn.XLOOKUP(Table1[[#This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Robasta</v>
      </c>
      <c r="O230" t="str">
        <f t="shared" si="11"/>
        <v>Large</v>
      </c>
      <c r="P230" t="str">
        <f>_xlfn.XLOOKUP(Table1[[#This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Librica</v>
      </c>
      <c r="O231" t="str">
        <f t="shared" si="11"/>
        <v>Medium</v>
      </c>
      <c r="P231" t="str">
        <f>_xlfn.XLOOKUP(Table1[[#This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_xlfn.XLOOKUP(Table1[[#This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Librica</v>
      </c>
      <c r="O233" t="str">
        <f t="shared" si="11"/>
        <v>Medium</v>
      </c>
      <c r="P233" t="str">
        <f>_xlfn.XLOOKUP(Table1[[#This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Librica</v>
      </c>
      <c r="O234" t="str">
        <f t="shared" si="11"/>
        <v>Large</v>
      </c>
      <c r="P234" t="str">
        <f>_xlfn.XLOOKUP(Table1[[#This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_xlfn.XLOOKUP(Table1[[#This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Librica</v>
      </c>
      <c r="O236" t="str">
        <f t="shared" si="11"/>
        <v>Large</v>
      </c>
      <c r="P236" t="str">
        <f>_xlfn.XLOOKUP(Table1[[#This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Librica</v>
      </c>
      <c r="O237" t="str">
        <f t="shared" si="11"/>
        <v>Large</v>
      </c>
      <c r="P237" t="str">
        <f>_xlfn.XLOOKUP(Table1[[#This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Librica</v>
      </c>
      <c r="O238" t="str">
        <f t="shared" si="11"/>
        <v>Dark</v>
      </c>
      <c r="P238" t="str">
        <f>_xlfn.XLOOKUP(Table1[[#This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Robasta</v>
      </c>
      <c r="O239" t="str">
        <f t="shared" si="11"/>
        <v>Large</v>
      </c>
      <c r="P239" t="str">
        <f>_xlfn.XLOOKUP(Table1[[#This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Robasta</v>
      </c>
      <c r="O240" t="str">
        <f t="shared" si="11"/>
        <v>Medium</v>
      </c>
      <c r="P240" t="str">
        <f>_xlfn.XLOOKUP(Table1[[#This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Large</v>
      </c>
      <c r="P241" t="str">
        <f>_xlfn.XLOOKUP(Table1[[#This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_xlfn.XLOOKUP(Table1[[#This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Robasta</v>
      </c>
      <c r="O243" t="str">
        <f t="shared" si="11"/>
        <v>Medium</v>
      </c>
      <c r="P243" t="str">
        <f>_xlfn.XLOOKUP(Table1[[#This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_xlfn.XLOOKUP(Table1[[#This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_xlfn.XLOOKUP(Table1[[#This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Librica</v>
      </c>
      <c r="O246" t="str">
        <f t="shared" si="11"/>
        <v>Medium</v>
      </c>
      <c r="P246" t="str">
        <f>_xlfn.XLOOKUP(Table1[[#This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Librica</v>
      </c>
      <c r="O247" t="str">
        <f t="shared" si="11"/>
        <v>Large</v>
      </c>
      <c r="P247" t="str">
        <f>_xlfn.XLOOKUP(Table1[[#This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Librica</v>
      </c>
      <c r="O248" t="str">
        <f t="shared" si="11"/>
        <v>Dark</v>
      </c>
      <c r="P248" t="str">
        <f>_xlfn.XLOOKUP(Table1[[#This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Robasta</v>
      </c>
      <c r="O249" t="str">
        <f t="shared" si="11"/>
        <v>Large</v>
      </c>
      <c r="P249" t="str">
        <f>_xlfn.XLOOKUP(Table1[[#This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_xlfn.XLOOKUP(Table1[[#This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Librica</v>
      </c>
      <c r="O251" t="str">
        <f t="shared" si="11"/>
        <v>Large</v>
      </c>
      <c r="P251" t="str">
        <f>_xlfn.XLOOKUP(Table1[[#This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Robasta</v>
      </c>
      <c r="O252" t="str">
        <f t="shared" si="11"/>
        <v>Medium</v>
      </c>
      <c r="P252" t="str">
        <f>_xlfn.XLOOKUP(Table1[[#This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_xlfn.XLOOKUP(Table1[[#This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_xlfn.XLOOKUP(Table1[[#This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Librica</v>
      </c>
      <c r="O255" t="str">
        <f t="shared" si="11"/>
        <v>Medium</v>
      </c>
      <c r="P255" t="str">
        <f>_xlfn.XLOOKUP(Table1[[#This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Robasta</v>
      </c>
      <c r="O256" t="str">
        <f t="shared" si="11"/>
        <v>Large</v>
      </c>
      <c r="P256" t="str">
        <f>_xlfn.XLOOKUP(Table1[[#This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Robasta</v>
      </c>
      <c r="O257" t="str">
        <f t="shared" si="11"/>
        <v>Large</v>
      </c>
      <c r="P257" t="str">
        <f>_xlfn.XLOOKUP(Table1[[#This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9"/>
        <v>17.46</v>
      </c>
      <c r="N258" t="str">
        <f t="shared" si="10"/>
        <v>Librica</v>
      </c>
      <c r="O258" t="str">
        <f t="shared" si="11"/>
        <v>Medium</v>
      </c>
      <c r="P258" t="str">
        <f>_xlfn.XLOOKUP(Table1[[#This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IF(I259="Rob","Robasta",IF(I259="Exc","Excelsa",IF(I259="Ara","Arabica",IF(I259="Lib","Librica",""))))</f>
        <v>Excelsa</v>
      </c>
      <c r="O259" t="str">
        <f t="shared" ref="O259:O322" si="14">IF(J259="M","Medium",IF(J259="L","Large",IF(J259="S","Small",IF(J259="D","Dark",""))))</f>
        <v>Dark</v>
      </c>
      <c r="P259" t="str">
        <f>_xlfn.XLOOKUP(Table1[[#This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_xlfn.XLOOKUP(Table1[[#This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Robasta</v>
      </c>
      <c r="O261" t="str">
        <f t="shared" si="14"/>
        <v>Medium</v>
      </c>
      <c r="P261" t="str">
        <f>_xlfn.XLOOKUP(Table1[[#This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Robasta</v>
      </c>
      <c r="O262" t="str">
        <f t="shared" si="14"/>
        <v>Large</v>
      </c>
      <c r="P262" t="str">
        <f>_xlfn.XLOOKUP(Table1[[#This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Robasta</v>
      </c>
      <c r="O263" t="str">
        <f t="shared" si="14"/>
        <v>Large</v>
      </c>
      <c r="P263" t="str">
        <f>_xlfn.XLOOKUP(Table1[[#This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_xlfn.XLOOKUP(Table1[[#This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Librica</v>
      </c>
      <c r="O265" t="str">
        <f t="shared" si="14"/>
        <v>Medium</v>
      </c>
      <c r="P265" t="str">
        <f>_xlfn.XLOOKUP(Table1[[#This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Robasta</v>
      </c>
      <c r="O266" t="str">
        <f t="shared" si="14"/>
        <v>Large</v>
      </c>
      <c r="P266" t="str">
        <f>_xlfn.XLOOKUP(Table1[[#This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_xlfn.XLOOKUP(Table1[[#This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_xlfn.XLOOKUP(Table1[[#This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_xlfn.XLOOKUP(Table1[[#This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_xlfn.XLOOKUP(Table1[[#This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_xlfn.XLOOKUP(Table1[[#This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_xlfn.XLOOKUP(Table1[[#This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_xlfn.XLOOKUP(Table1[[#This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Robasta</v>
      </c>
      <c r="O274" t="str">
        <f t="shared" si="14"/>
        <v>Large</v>
      </c>
      <c r="P274" t="str">
        <f>_xlfn.XLOOKUP(Table1[[#This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Large</v>
      </c>
      <c r="P275" t="str">
        <f>_xlfn.XLOOKUP(Table1[[#This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_xlfn.XLOOKUP(Table1[[#This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Large</v>
      </c>
      <c r="P277" t="str">
        <f>_xlfn.XLOOKUP(Table1[[#This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Robasta</v>
      </c>
      <c r="O278" t="str">
        <f t="shared" si="14"/>
        <v>Large</v>
      </c>
      <c r="P278" t="str">
        <f>_xlfn.XLOOKUP(Table1[[#This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Large</v>
      </c>
      <c r="P279" t="str">
        <f>_xlfn.XLOOKUP(Table1[[#This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Large</v>
      </c>
      <c r="P280" t="str">
        <f>_xlfn.XLOOKUP(Table1[[#This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Librica</v>
      </c>
      <c r="O281" t="str">
        <f t="shared" si="14"/>
        <v>Medium</v>
      </c>
      <c r="P281" t="str">
        <f>_xlfn.XLOOKUP(Table1[[#This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_xlfn.XLOOKUP(Table1[[#This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Large</v>
      </c>
      <c r="P283" t="str">
        <f>_xlfn.XLOOKUP(Table1[[#This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Large</v>
      </c>
      <c r="P284" t="str">
        <f>_xlfn.XLOOKUP(Table1[[#This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Robasta</v>
      </c>
      <c r="O285" t="str">
        <f t="shared" si="14"/>
        <v>Dark</v>
      </c>
      <c r="P285" t="str">
        <f>_xlfn.XLOOKUP(Table1[[#This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_xlfn.XLOOKUP(Table1[[#This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Librica</v>
      </c>
      <c r="O287" t="str">
        <f t="shared" si="14"/>
        <v>Large</v>
      </c>
      <c r="P287" t="str">
        <f>_xlfn.XLOOKUP(Table1[[#This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_xlfn.XLOOKUP(Table1[[#This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Robasta</v>
      </c>
      <c r="O289" t="str">
        <f t="shared" si="14"/>
        <v>Large</v>
      </c>
      <c r="P289" t="str">
        <f>_xlfn.XLOOKUP(Table1[[#This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_xlfn.XLOOKUP(Table1[[#This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Robasta</v>
      </c>
      <c r="O291" t="str">
        <f t="shared" si="14"/>
        <v>Dark</v>
      </c>
      <c r="P291" t="str">
        <f>_xlfn.XLOOKUP(Table1[[#This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_xlfn.XLOOKUP(Table1[[#This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_xlfn.XLOOKUP(Table1[[#This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_xlfn.XLOOKUP(Table1[[#This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_xlfn.XLOOKUP(Table1[[#This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Large</v>
      </c>
      <c r="P296" t="str">
        <f>_xlfn.XLOOKUP(Table1[[#This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_xlfn.XLOOKUP(Table1[[#This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Robasta</v>
      </c>
      <c r="O298" t="str">
        <f t="shared" si="14"/>
        <v>Medium</v>
      </c>
      <c r="P298" t="str">
        <f>_xlfn.XLOOKUP(Table1[[#This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Robasta</v>
      </c>
      <c r="O299" t="str">
        <f t="shared" si="14"/>
        <v>Dark</v>
      </c>
      <c r="P299" t="str">
        <f>_xlfn.XLOOKUP(Table1[[#This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Large</v>
      </c>
      <c r="P300" t="str">
        <f>_xlfn.XLOOKUP(Table1[[#This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Large</v>
      </c>
      <c r="P301" t="str">
        <f>_xlfn.XLOOKUP(Table1[[#This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Large</v>
      </c>
      <c r="P302" t="str">
        <f>_xlfn.XLOOKUP(Table1[[#This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Librica</v>
      </c>
      <c r="O303" t="str">
        <f t="shared" si="14"/>
        <v>Dark</v>
      </c>
      <c r="P303" t="str">
        <f>_xlfn.XLOOKUP(Table1[[#This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_xlfn.XLOOKUP(Table1[[#This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_xlfn.XLOOKUP(Table1[[#This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Large</v>
      </c>
      <c r="P306" t="str">
        <f>_xlfn.XLOOKUP(Table1[[#This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Librica</v>
      </c>
      <c r="O307" t="str">
        <f t="shared" si="14"/>
        <v>Medium</v>
      </c>
      <c r="P307" t="str">
        <f>_xlfn.XLOOKUP(Table1[[#This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Robasta</v>
      </c>
      <c r="O308" t="str">
        <f t="shared" si="14"/>
        <v>Medium</v>
      </c>
      <c r="P308" t="str">
        <f>_xlfn.XLOOKUP(Table1[[#This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_xlfn.XLOOKUP(Table1[[#This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_xlfn.XLOOKUP(Table1[[#This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Librica</v>
      </c>
      <c r="O311" t="str">
        <f t="shared" si="14"/>
        <v>Medium</v>
      </c>
      <c r="P311" t="str">
        <f>_xlfn.XLOOKUP(Table1[[#This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Large</v>
      </c>
      <c r="P312" t="str">
        <f>_xlfn.XLOOKUP(Table1[[#This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_xlfn.XLOOKUP(Table1[[#This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Robasta</v>
      </c>
      <c r="O314" t="str">
        <f t="shared" si="14"/>
        <v>Medium</v>
      </c>
      <c r="P314" t="str">
        <f>_xlfn.XLOOKUP(Table1[[#This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Robasta</v>
      </c>
      <c r="O315" t="str">
        <f t="shared" si="14"/>
        <v>Medium</v>
      </c>
      <c r="P315" t="str">
        <f>_xlfn.XLOOKUP(Table1[[#This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Robasta</v>
      </c>
      <c r="O316" t="str">
        <f t="shared" si="14"/>
        <v>Dark</v>
      </c>
      <c r="P316" t="str">
        <f>_xlfn.XLOOKUP(Table1[[#This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Large</v>
      </c>
      <c r="P317" t="str">
        <f>_xlfn.XLOOKUP(Table1[[#This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Large</v>
      </c>
      <c r="P318" t="str">
        <f>_xlfn.XLOOKUP(Table1[[#This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_xlfn.XLOOKUP(Table1[[#This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_xlfn.XLOOKUP(Table1[[#This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_xlfn.XLOOKUP(Table1[[#This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Large</v>
      </c>
      <c r="P322" t="str">
        <f>_xlfn.XLOOKUP(Table1[[#This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IF(I323="Rob","Robasta",IF(I323="Exc","Excelsa",IF(I323="Ara","Arabica",IF(I323="Lib","Librica",""))))</f>
        <v>Arabica</v>
      </c>
      <c r="O323" t="str">
        <f t="shared" ref="O323:O386" si="17">IF(J323="M","Medium",IF(J323="L","Large",IF(J323="S","Small",IF(J323="D","Dark",""))))</f>
        <v>Medium</v>
      </c>
      <c r="P323" t="str">
        <f>_xlfn.XLOOKUP(Table1[[#This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Librica</v>
      </c>
      <c r="O324" t="str">
        <f t="shared" si="17"/>
        <v>Dark</v>
      </c>
      <c r="P324" t="str">
        <f>_xlfn.XLOOKUP(Table1[[#This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_xlfn.XLOOKUP(Table1[[#This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_xlfn.XLOOKUP(Table1[[#This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Large</v>
      </c>
      <c r="P327" t="str">
        <f>_xlfn.XLOOKUP(Table1[[#This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Robasta</v>
      </c>
      <c r="O328" t="str">
        <f t="shared" si="17"/>
        <v>Dark</v>
      </c>
      <c r="P328" t="str">
        <f>_xlfn.XLOOKUP(Table1[[#This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Robasta</v>
      </c>
      <c r="O329" t="str">
        <f t="shared" si="17"/>
        <v>Dark</v>
      </c>
      <c r="P329" t="str">
        <f>_xlfn.XLOOKUP(Table1[[#This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Librica</v>
      </c>
      <c r="O330" t="str">
        <f t="shared" si="17"/>
        <v>Large</v>
      </c>
      <c r="P330" t="str">
        <f>_xlfn.XLOOKUP(Table1[[#This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Robasta</v>
      </c>
      <c r="O331" t="str">
        <f t="shared" si="17"/>
        <v>Dark</v>
      </c>
      <c r="P331" t="str">
        <f>_xlfn.XLOOKUP(Table1[[#This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Robasta</v>
      </c>
      <c r="O332" t="str">
        <f t="shared" si="17"/>
        <v>Dark</v>
      </c>
      <c r="P332" t="str">
        <f>_xlfn.XLOOKUP(Table1[[#This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Robasta</v>
      </c>
      <c r="O333" t="str">
        <f t="shared" si="17"/>
        <v>Medium</v>
      </c>
      <c r="P333" t="str">
        <f>_xlfn.XLOOKUP(Table1[[#This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_xlfn.XLOOKUP(Table1[[#This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Robasta</v>
      </c>
      <c r="O335" t="str">
        <f t="shared" si="17"/>
        <v>Medium</v>
      </c>
      <c r="P335" t="str">
        <f>_xlfn.XLOOKUP(Table1[[#This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Robasta</v>
      </c>
      <c r="O336" t="str">
        <f t="shared" si="17"/>
        <v>Large</v>
      </c>
      <c r="P336" t="str">
        <f>_xlfn.XLOOKUP(Table1[[#This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Librica</v>
      </c>
      <c r="O337" t="str">
        <f t="shared" si="17"/>
        <v>Large</v>
      </c>
      <c r="P337" t="str">
        <f>_xlfn.XLOOKUP(Table1[[#This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_xlfn.XLOOKUP(Table1[[#This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_xlfn.XLOOKUP(Table1[[#This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Large</v>
      </c>
      <c r="P340" t="str">
        <f>_xlfn.XLOOKUP(Table1[[#This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_xlfn.XLOOKUP(Table1[[#This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_xlfn.XLOOKUP(Table1[[#This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Large</v>
      </c>
      <c r="P343" t="str">
        <f>_xlfn.XLOOKUP(Table1[[#This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Librica</v>
      </c>
      <c r="O344" t="str">
        <f t="shared" si="17"/>
        <v>Dark</v>
      </c>
      <c r="P344" t="str">
        <f>_xlfn.XLOOKUP(Table1[[#This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Robasta</v>
      </c>
      <c r="O345" t="str">
        <f t="shared" si="17"/>
        <v>Dark</v>
      </c>
      <c r="P345" t="str">
        <f>_xlfn.XLOOKUP(Table1[[#This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Robasta</v>
      </c>
      <c r="O346" t="str">
        <f t="shared" si="17"/>
        <v>Medium</v>
      </c>
      <c r="P346" t="str">
        <f>_xlfn.XLOOKUP(Table1[[#This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Robasta</v>
      </c>
      <c r="O347" t="str">
        <f t="shared" si="17"/>
        <v>Large</v>
      </c>
      <c r="P347" t="str">
        <f>_xlfn.XLOOKUP(Table1[[#This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Large</v>
      </c>
      <c r="P348" t="str">
        <f>_xlfn.XLOOKUP(Table1[[#This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Librica</v>
      </c>
      <c r="O349" t="str">
        <f t="shared" si="17"/>
        <v>Medium</v>
      </c>
      <c r="P349" t="str">
        <f>_xlfn.XLOOKUP(Table1[[#This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Large</v>
      </c>
      <c r="P350" t="str">
        <f>_xlfn.XLOOKUP(Table1[[#This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Robasta</v>
      </c>
      <c r="O351" t="str">
        <f t="shared" si="17"/>
        <v>Large</v>
      </c>
      <c r="P351" t="str">
        <f>_xlfn.XLOOKUP(Table1[[#This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_xlfn.XLOOKUP(Table1[[#This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_xlfn.XLOOKUP(Table1[[#This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_xlfn.XLOOKUP(Table1[[#This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_xlfn.XLOOKUP(Table1[[#This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_xlfn.XLOOKUP(Table1[[#This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_xlfn.XLOOKUP(Table1[[#This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Librica</v>
      </c>
      <c r="O358" t="str">
        <f t="shared" si="17"/>
        <v>Dark</v>
      </c>
      <c r="P358" t="str">
        <f>_xlfn.XLOOKUP(Table1[[#This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_xlfn.XLOOKUP(Table1[[#This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Large</v>
      </c>
      <c r="P360" t="str">
        <f>_xlfn.XLOOKUP(Table1[[#This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Robasta</v>
      </c>
      <c r="O361" t="str">
        <f t="shared" si="17"/>
        <v>Large</v>
      </c>
      <c r="P361" t="str">
        <f>_xlfn.XLOOKUP(Table1[[#This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Robasta</v>
      </c>
      <c r="O362" t="str">
        <f t="shared" si="17"/>
        <v>Dark</v>
      </c>
      <c r="P362" t="str">
        <f>_xlfn.XLOOKUP(Table1[[#This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Robasta</v>
      </c>
      <c r="O363" t="str">
        <f t="shared" si="17"/>
        <v>Medium</v>
      </c>
      <c r="P363" t="str">
        <f>_xlfn.XLOOKUP(Table1[[#This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Large</v>
      </c>
      <c r="P364" t="str">
        <f>_xlfn.XLOOKUP(Table1[[#This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Librica</v>
      </c>
      <c r="O365" t="str">
        <f t="shared" si="17"/>
        <v>Medium</v>
      </c>
      <c r="P365" t="str">
        <f>_xlfn.XLOOKUP(Table1[[#This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_xlfn.XLOOKUP(Table1[[#This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Librica</v>
      </c>
      <c r="O367" t="str">
        <f t="shared" si="17"/>
        <v>Dark</v>
      </c>
      <c r="P367" t="str">
        <f>_xlfn.XLOOKUP(Table1[[#This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_xlfn.XLOOKUP(Table1[[#This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Librica</v>
      </c>
      <c r="O369" t="str">
        <f t="shared" si="17"/>
        <v>Medium</v>
      </c>
      <c r="P369" t="str">
        <f>_xlfn.XLOOKUP(Table1[[#This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_xlfn.XLOOKUP(Table1[[#This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Large</v>
      </c>
      <c r="P371" t="str">
        <f>_xlfn.XLOOKUP(Table1[[#This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_xlfn.XLOOKUP(Table1[[#This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Large</v>
      </c>
      <c r="P373" t="str">
        <f>_xlfn.XLOOKUP(Table1[[#This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Robasta</v>
      </c>
      <c r="O374" t="str">
        <f t="shared" si="17"/>
        <v>Large</v>
      </c>
      <c r="P374" t="str">
        <f>_xlfn.XLOOKUP(Table1[[#This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_xlfn.XLOOKUP(Table1[[#This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Librica</v>
      </c>
      <c r="O376" t="str">
        <f t="shared" si="17"/>
        <v>Large</v>
      </c>
      <c r="P376" t="str">
        <f>_xlfn.XLOOKUP(Table1[[#This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_xlfn.XLOOKUP(Table1[[#This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Robasta</v>
      </c>
      <c r="O378" t="str">
        <f t="shared" si="17"/>
        <v>Medium</v>
      </c>
      <c r="P378" t="str">
        <f>_xlfn.XLOOKUP(Table1[[#This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Robasta</v>
      </c>
      <c r="O379" t="str">
        <f t="shared" si="17"/>
        <v>Dark</v>
      </c>
      <c r="P379" t="str">
        <f>_xlfn.XLOOKUP(Table1[[#This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Large</v>
      </c>
      <c r="P380" t="str">
        <f>_xlfn.XLOOKUP(Table1[[#This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Robasta</v>
      </c>
      <c r="O381" t="str">
        <f t="shared" si="17"/>
        <v>Large</v>
      </c>
      <c r="P381" t="str">
        <f>_xlfn.XLOOKUP(Table1[[#This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Librica</v>
      </c>
      <c r="O382" t="str">
        <f t="shared" si="17"/>
        <v>Dark</v>
      </c>
      <c r="P382" t="str">
        <f>_xlfn.XLOOKUP(Table1[[#This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_xlfn.XLOOKUP(Table1[[#This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_xlfn.XLOOKUP(Table1[[#This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Large</v>
      </c>
      <c r="P385" t="str">
        <f>_xlfn.XLOOKUP(Table1[[#This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Large</v>
      </c>
      <c r="P386" t="str">
        <f>_xlfn.XLOOKUP(Table1[[#This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IF(I387="Rob","Robasta",IF(I387="Exc","Excelsa",IF(I387="Ara","Arabica",IF(I387="Lib","Librica",""))))</f>
        <v>Librica</v>
      </c>
      <c r="O387" t="str">
        <f t="shared" ref="O387:O450" si="20">IF(J387="M","Medium",IF(J387="L","Large",IF(J387="S","Small",IF(J387="D","Dark",""))))</f>
        <v>Medium</v>
      </c>
      <c r="P387" t="str">
        <f>_xlfn.XLOOKUP(Table1[[#This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_xlfn.XLOOKUP(Table1[[#This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Large</v>
      </c>
      <c r="P389" t="str">
        <f>_xlfn.XLOOKUP(Table1[[#This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Librica</v>
      </c>
      <c r="O390" t="str">
        <f t="shared" si="20"/>
        <v>Dark</v>
      </c>
      <c r="P390" t="str">
        <f>_xlfn.XLOOKUP(Table1[[#This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Librica</v>
      </c>
      <c r="O391" t="str">
        <f t="shared" si="20"/>
        <v>Dark</v>
      </c>
      <c r="P391" t="str">
        <f>_xlfn.XLOOKUP(Table1[[#This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_xlfn.XLOOKUP(Table1[[#This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_xlfn.XLOOKUP(Table1[[#This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Large</v>
      </c>
      <c r="P394" t="str">
        <f>_xlfn.XLOOKUP(Table1[[#This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Large</v>
      </c>
      <c r="P395" t="str">
        <f>_xlfn.XLOOKUP(Table1[[#This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Robasta</v>
      </c>
      <c r="O396" t="str">
        <f t="shared" si="20"/>
        <v>Large</v>
      </c>
      <c r="P396" t="str">
        <f>_xlfn.XLOOKUP(Table1[[#This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Librica</v>
      </c>
      <c r="O397" t="str">
        <f t="shared" si="20"/>
        <v>Dark</v>
      </c>
      <c r="P397" t="str">
        <f>_xlfn.XLOOKUP(Table1[[#This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Large</v>
      </c>
      <c r="P398" t="str">
        <f>_xlfn.XLOOKUP(Table1[[#This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Librica</v>
      </c>
      <c r="O399" t="str">
        <f t="shared" si="20"/>
        <v>Dark</v>
      </c>
      <c r="P399" t="str">
        <f>_xlfn.XLOOKUP(Table1[[#This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_xlfn.XLOOKUP(Table1[[#This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_xlfn.XLOOKUP(Table1[[#This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Librica</v>
      </c>
      <c r="O402" t="str">
        <f t="shared" si="20"/>
        <v>Large</v>
      </c>
      <c r="P402" t="str">
        <f>_xlfn.XLOOKUP(Table1[[#This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Librica</v>
      </c>
      <c r="O403" t="str">
        <f t="shared" si="20"/>
        <v>Medium</v>
      </c>
      <c r="P403" t="str">
        <f>_xlfn.XLOOKUP(Table1[[#This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Robasta</v>
      </c>
      <c r="O404" t="str">
        <f t="shared" si="20"/>
        <v>Dark</v>
      </c>
      <c r="P404" t="str">
        <f>_xlfn.XLOOKUP(Table1[[#This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Librica</v>
      </c>
      <c r="O405" t="str">
        <f t="shared" si="20"/>
        <v>Large</v>
      </c>
      <c r="P405" t="str">
        <f>_xlfn.XLOOKUP(Table1[[#This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_xlfn.XLOOKUP(Table1[[#This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_xlfn.XLOOKUP(Table1[[#This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_xlfn.XLOOKUP(Table1[[#This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_xlfn.XLOOKUP(Table1[[#This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_xlfn.XLOOKUP(Table1[[#This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Librica</v>
      </c>
      <c r="O411" t="str">
        <f t="shared" si="20"/>
        <v>Large</v>
      </c>
      <c r="P411" t="str">
        <f>_xlfn.XLOOKUP(Table1[[#This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Large</v>
      </c>
      <c r="P412" t="str">
        <f>_xlfn.XLOOKUP(Table1[[#This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Librica</v>
      </c>
      <c r="O413" t="str">
        <f t="shared" si="20"/>
        <v>Medium</v>
      </c>
      <c r="P413" t="str">
        <f>_xlfn.XLOOKUP(Table1[[#This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_xlfn.XLOOKUP(Table1[[#This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Librica</v>
      </c>
      <c r="O415" t="str">
        <f t="shared" si="20"/>
        <v>Large</v>
      </c>
      <c r="P415" t="str">
        <f>_xlfn.XLOOKUP(Table1[[#This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Robasta</v>
      </c>
      <c r="O416" t="str">
        <f t="shared" si="20"/>
        <v>Large</v>
      </c>
      <c r="P416" t="str">
        <f>_xlfn.XLOOKUP(Table1[[#This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Robasta</v>
      </c>
      <c r="O417" t="str">
        <f t="shared" si="20"/>
        <v>Medium</v>
      </c>
      <c r="P417" t="str">
        <f>_xlfn.XLOOKUP(Table1[[#This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Large</v>
      </c>
      <c r="P418" t="str">
        <f>_xlfn.XLOOKUP(Table1[[#This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Large</v>
      </c>
      <c r="P419" t="str">
        <f>_xlfn.XLOOKUP(Table1[[#This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Large</v>
      </c>
      <c r="P420" t="str">
        <f>_xlfn.XLOOKUP(Table1[[#This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Librica</v>
      </c>
      <c r="O421" t="str">
        <f t="shared" si="20"/>
        <v>Medium</v>
      </c>
      <c r="P421" t="str">
        <f>_xlfn.XLOOKUP(Table1[[#This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Librica</v>
      </c>
      <c r="O422" t="str">
        <f t="shared" si="20"/>
        <v>Dark</v>
      </c>
      <c r="P422" t="str">
        <f>_xlfn.XLOOKUP(Table1[[#This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_xlfn.XLOOKUP(Table1[[#This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_xlfn.XLOOKUP(Table1[[#This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Robasta</v>
      </c>
      <c r="O425" t="str">
        <f t="shared" si="20"/>
        <v>Medium</v>
      </c>
      <c r="P425" t="str">
        <f>_xlfn.XLOOKUP(Table1[[#This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Large</v>
      </c>
      <c r="P426" t="str">
        <f>_xlfn.XLOOKUP(Table1[[#This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Robasta</v>
      </c>
      <c r="O427" t="str">
        <f t="shared" si="20"/>
        <v>Dark</v>
      </c>
      <c r="P427" t="str">
        <f>_xlfn.XLOOKUP(Table1[[#This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Robasta</v>
      </c>
      <c r="O428" t="str">
        <f t="shared" si="20"/>
        <v>Large</v>
      </c>
      <c r="P428" t="str">
        <f>_xlfn.XLOOKUP(Table1[[#This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_xlfn.XLOOKUP(Table1[[#This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Robasta</v>
      </c>
      <c r="O430" t="str">
        <f t="shared" si="20"/>
        <v>Large</v>
      </c>
      <c r="P430" t="str">
        <f>_xlfn.XLOOKUP(Table1[[#This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Large</v>
      </c>
      <c r="P431" t="str">
        <f>_xlfn.XLOOKUP(Table1[[#This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Robasta</v>
      </c>
      <c r="O432" t="str">
        <f t="shared" si="20"/>
        <v>Dark</v>
      </c>
      <c r="P432" t="str">
        <f>_xlfn.XLOOKUP(Table1[[#This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_xlfn.XLOOKUP(Table1[[#This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_xlfn.XLOOKUP(Table1[[#This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Librica</v>
      </c>
      <c r="O435" t="str">
        <f t="shared" si="20"/>
        <v>Medium</v>
      </c>
      <c r="P435" t="str">
        <f>_xlfn.XLOOKUP(Table1[[#This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_xlfn.XLOOKUP(Table1[[#This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_xlfn.XLOOKUP(Table1[[#This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Librica</v>
      </c>
      <c r="O438" t="str">
        <f t="shared" si="20"/>
        <v>Large</v>
      </c>
      <c r="P438" t="str">
        <f>_xlfn.XLOOKUP(Table1[[#This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Librica</v>
      </c>
      <c r="O439" t="str">
        <f t="shared" si="20"/>
        <v>Dark</v>
      </c>
      <c r="P439" t="str">
        <f>_xlfn.XLOOKUP(Table1[[#This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Librica</v>
      </c>
      <c r="O440" t="str">
        <f t="shared" si="20"/>
        <v>Dark</v>
      </c>
      <c r="P440" t="str">
        <f>_xlfn.XLOOKUP(Table1[[#This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Large</v>
      </c>
      <c r="P441" t="str">
        <f>_xlfn.XLOOKUP(Table1[[#This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_xlfn.XLOOKUP(Table1[[#This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_xlfn.XLOOKUP(Table1[[#This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Robasta</v>
      </c>
      <c r="O444" t="str">
        <f t="shared" si="20"/>
        <v>Large</v>
      </c>
      <c r="P444" t="str">
        <f>_xlfn.XLOOKUP(Table1[[#This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Large</v>
      </c>
      <c r="P445" t="str">
        <f>_xlfn.XLOOKUP(Table1[[#This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_xlfn.XLOOKUP(Table1[[#This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Librica</v>
      </c>
      <c r="O447" t="str">
        <f t="shared" si="20"/>
        <v>Medium</v>
      </c>
      <c r="P447" t="str">
        <f>_xlfn.XLOOKUP(Table1[[#This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Librica</v>
      </c>
      <c r="O448" t="str">
        <f t="shared" si="20"/>
        <v>Medium</v>
      </c>
      <c r="P448" t="str">
        <f>_xlfn.XLOOKUP(Table1[[#This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Robasta</v>
      </c>
      <c r="O449" t="str">
        <f t="shared" si="20"/>
        <v>Medium</v>
      </c>
      <c r="P449" t="str">
        <f>_xlfn.XLOOKUP(Table1[[#This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8"/>
        <v>7.169999999999999</v>
      </c>
      <c r="N450" t="str">
        <f t="shared" si="19"/>
        <v>Robasta</v>
      </c>
      <c r="O450" t="str">
        <f t="shared" si="20"/>
        <v>Large</v>
      </c>
      <c r="P450" t="str">
        <f>_xlfn.XLOOKUP(Table1[[#This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IF(I451="Rob","Robasta",IF(I451="Exc","Excelsa",IF(I451="Ara","Arabica",IF(I451="Lib","Librica",""))))</f>
        <v>Robasta</v>
      </c>
      <c r="O451" t="str">
        <f t="shared" ref="O451:O514" si="23">IF(J451="M","Medium",IF(J451="L","Large",IF(J451="S","Small",IF(J451="D","Dark",""))))</f>
        <v>Dark</v>
      </c>
      <c r="P451" t="str">
        <f>_xlfn.XLOOKUP(Table1[[#This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Librica</v>
      </c>
      <c r="O452" t="str">
        <f t="shared" si="23"/>
        <v>Large</v>
      </c>
      <c r="P452" t="str">
        <f>_xlfn.XLOOKUP(Table1[[#This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Robasta</v>
      </c>
      <c r="O453" t="str">
        <f t="shared" si="23"/>
        <v>Dark</v>
      </c>
      <c r="P453" t="str">
        <f>_xlfn.XLOOKUP(Table1[[#This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Large</v>
      </c>
      <c r="P454" t="str">
        <f>_xlfn.XLOOKUP(Table1[[#This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Librica</v>
      </c>
      <c r="O455" t="str">
        <f t="shared" si="23"/>
        <v>Large</v>
      </c>
      <c r="P455" t="str">
        <f>_xlfn.XLOOKUP(Table1[[#This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Robasta</v>
      </c>
      <c r="O456" t="str">
        <f t="shared" si="23"/>
        <v>Dark</v>
      </c>
      <c r="P456" t="str">
        <f>_xlfn.XLOOKUP(Table1[[#This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Librica</v>
      </c>
      <c r="O457" t="str">
        <f t="shared" si="23"/>
        <v>Large</v>
      </c>
      <c r="P457" t="str">
        <f>_xlfn.XLOOKUP(Table1[[#This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Robasta</v>
      </c>
      <c r="O458" t="str">
        <f t="shared" si="23"/>
        <v>Dark</v>
      </c>
      <c r="P458" t="str">
        <f>_xlfn.XLOOKUP(Table1[[#This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Librica</v>
      </c>
      <c r="O459" t="str">
        <f t="shared" si="23"/>
        <v>Large</v>
      </c>
      <c r="P459" t="str">
        <f>_xlfn.XLOOKUP(Table1[[#This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_xlfn.XLOOKUP(Table1[[#This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Librica</v>
      </c>
      <c r="O461" t="str">
        <f t="shared" si="23"/>
        <v>Large</v>
      </c>
      <c r="P461" t="str">
        <f>_xlfn.XLOOKUP(Table1[[#This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Robasta</v>
      </c>
      <c r="O462" t="str">
        <f t="shared" si="23"/>
        <v>Dark</v>
      </c>
      <c r="P462" t="str">
        <f>_xlfn.XLOOKUP(Table1[[#This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Robasta</v>
      </c>
      <c r="O463" t="str">
        <f t="shared" si="23"/>
        <v>Dark</v>
      </c>
      <c r="P463" t="str">
        <f>_xlfn.XLOOKUP(Table1[[#This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_xlfn.XLOOKUP(Table1[[#This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_xlfn.XLOOKUP(Table1[[#This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Librica</v>
      </c>
      <c r="O466" t="str">
        <f t="shared" si="23"/>
        <v>Dark</v>
      </c>
      <c r="P466" t="str">
        <f>_xlfn.XLOOKUP(Table1[[#This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Robasta</v>
      </c>
      <c r="O467" t="str">
        <f t="shared" si="23"/>
        <v>Dark</v>
      </c>
      <c r="P467" t="str">
        <f>_xlfn.XLOOKUP(Table1[[#This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_xlfn.XLOOKUP(Table1[[#This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_xlfn.XLOOKUP(Table1[[#This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_xlfn.XLOOKUP(Table1[[#This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Large</v>
      </c>
      <c r="P471" t="str">
        <f>_xlfn.XLOOKUP(Table1[[#This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_xlfn.XLOOKUP(Table1[[#This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Librica</v>
      </c>
      <c r="O473" t="str">
        <f t="shared" si="23"/>
        <v>Medium</v>
      </c>
      <c r="P473" t="str">
        <f>_xlfn.XLOOKUP(Table1[[#This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_xlfn.XLOOKUP(Table1[[#This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Large</v>
      </c>
      <c r="P475" t="str">
        <f>_xlfn.XLOOKUP(Table1[[#This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_xlfn.XLOOKUP(Table1[[#This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Librica</v>
      </c>
      <c r="O477" t="str">
        <f t="shared" si="23"/>
        <v>Medium</v>
      </c>
      <c r="P477" t="str">
        <f>_xlfn.XLOOKUP(Table1[[#This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Large</v>
      </c>
      <c r="P478" t="str">
        <f>_xlfn.XLOOKUP(Table1[[#This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Librica</v>
      </c>
      <c r="O479" t="str">
        <f t="shared" si="23"/>
        <v>Medium</v>
      </c>
      <c r="P479" t="str">
        <f>_xlfn.XLOOKUP(Table1[[#This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Robasta</v>
      </c>
      <c r="O480" t="str">
        <f t="shared" si="23"/>
        <v>Dark</v>
      </c>
      <c r="P480" t="str">
        <f>_xlfn.XLOOKUP(Table1[[#This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_xlfn.XLOOKUP(Table1[[#This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_xlfn.XLOOKUP(Table1[[#This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Robasta</v>
      </c>
      <c r="O483" t="str">
        <f t="shared" si="23"/>
        <v>Large</v>
      </c>
      <c r="P483" t="str">
        <f>_xlfn.XLOOKUP(Table1[[#This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_xlfn.XLOOKUP(Table1[[#This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Librica</v>
      </c>
      <c r="O485" t="str">
        <f t="shared" si="23"/>
        <v>Dark</v>
      </c>
      <c r="P485" t="str">
        <f>_xlfn.XLOOKUP(Table1[[#This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Librica</v>
      </c>
      <c r="O486" t="str">
        <f t="shared" si="23"/>
        <v>Large</v>
      </c>
      <c r="P486" t="str">
        <f>_xlfn.XLOOKUP(Table1[[#This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Robasta</v>
      </c>
      <c r="O487" t="str">
        <f t="shared" si="23"/>
        <v>Large</v>
      </c>
      <c r="P487" t="str">
        <f>_xlfn.XLOOKUP(Table1[[#This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Librica</v>
      </c>
      <c r="O488" t="str">
        <f t="shared" si="23"/>
        <v>Medium</v>
      </c>
      <c r="P488" t="str">
        <f>_xlfn.XLOOKUP(Table1[[#This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_xlfn.XLOOKUP(Table1[[#This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Robasta</v>
      </c>
      <c r="O490" t="str">
        <f t="shared" si="23"/>
        <v>Medium</v>
      </c>
      <c r="P490" t="str">
        <f>_xlfn.XLOOKUP(Table1[[#This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Librica</v>
      </c>
      <c r="O491" t="str">
        <f t="shared" si="23"/>
        <v>Large</v>
      </c>
      <c r="P491" t="str">
        <f>_xlfn.XLOOKUP(Table1[[#This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Librica</v>
      </c>
      <c r="O492" t="str">
        <f t="shared" si="23"/>
        <v>Dark</v>
      </c>
      <c r="P492" t="str">
        <f>_xlfn.XLOOKUP(Table1[[#This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Librica</v>
      </c>
      <c r="O493" t="str">
        <f t="shared" si="23"/>
        <v>Dark</v>
      </c>
      <c r="P493" t="str">
        <f>_xlfn.XLOOKUP(Table1[[#This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_xlfn.XLOOKUP(Table1[[#This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Robasta</v>
      </c>
      <c r="O495" t="str">
        <f t="shared" si="23"/>
        <v>Medium</v>
      </c>
      <c r="P495" t="str">
        <f>_xlfn.XLOOKUP(Table1[[#This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Librica</v>
      </c>
      <c r="O496" t="str">
        <f t="shared" si="23"/>
        <v>Large</v>
      </c>
      <c r="P496" t="str">
        <f>_xlfn.XLOOKUP(Table1[[#This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Librica</v>
      </c>
      <c r="O497" t="str">
        <f t="shared" si="23"/>
        <v>Large</v>
      </c>
      <c r="P497" t="str">
        <f>_xlfn.XLOOKUP(Table1[[#This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_xlfn.XLOOKUP(Table1[[#This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_xlfn.XLOOKUP(Table1[[#This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Robasta</v>
      </c>
      <c r="O500" t="str">
        <f t="shared" si="23"/>
        <v>Medium</v>
      </c>
      <c r="P500" t="str">
        <f>_xlfn.XLOOKUP(Table1[[#This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Robasta</v>
      </c>
      <c r="O501" t="str">
        <f t="shared" si="23"/>
        <v>Dark</v>
      </c>
      <c r="P501" t="str">
        <f>_xlfn.XLOOKUP(Table1[[#This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Robasta</v>
      </c>
      <c r="O502" t="str">
        <f t="shared" si="23"/>
        <v>Large</v>
      </c>
      <c r="P502" t="str">
        <f>_xlfn.XLOOKUP(Table1[[#This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Robasta</v>
      </c>
      <c r="O503" t="str">
        <f t="shared" si="23"/>
        <v>Medium</v>
      </c>
      <c r="P503" t="str">
        <f>_xlfn.XLOOKUP(Table1[[#This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_xlfn.XLOOKUP(Table1[[#This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Librica</v>
      </c>
      <c r="O505" t="str">
        <f t="shared" si="23"/>
        <v>Dark</v>
      </c>
      <c r="P505" t="str">
        <f>_xlfn.XLOOKUP(Table1[[#This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Librica</v>
      </c>
      <c r="O506" t="str">
        <f t="shared" si="23"/>
        <v>Large</v>
      </c>
      <c r="P506" t="str">
        <f>_xlfn.XLOOKUP(Table1[[#This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Librica</v>
      </c>
      <c r="O507" t="str">
        <f t="shared" si="23"/>
        <v>Medium</v>
      </c>
      <c r="P507" t="str">
        <f>_xlfn.XLOOKUP(Table1[[#This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Large</v>
      </c>
      <c r="P508" t="str">
        <f>_xlfn.XLOOKUP(Table1[[#This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Large</v>
      </c>
      <c r="P509" t="str">
        <f>_xlfn.XLOOKUP(Table1[[#This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Librica</v>
      </c>
      <c r="O510" t="str">
        <f t="shared" si="23"/>
        <v>Dark</v>
      </c>
      <c r="P510" t="str">
        <f>_xlfn.XLOOKUP(Table1[[#This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_xlfn.XLOOKUP(Table1[[#This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Robasta</v>
      </c>
      <c r="O512" t="str">
        <f t="shared" si="23"/>
        <v>Large</v>
      </c>
      <c r="P512" t="str">
        <f>_xlfn.XLOOKUP(Table1[[#This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_xlfn.XLOOKUP(Table1[[#This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21"/>
        <v>47.55</v>
      </c>
      <c r="N514" t="str">
        <f t="shared" si="22"/>
        <v>Librica</v>
      </c>
      <c r="O514" t="str">
        <f t="shared" si="23"/>
        <v>Large</v>
      </c>
      <c r="P514" t="str">
        <f>_xlfn.XLOOKUP(Table1[[#This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IF(I515="Rob","Robasta",IF(I515="Exc","Excelsa",IF(I515="Ara","Arabica",IF(I515="Lib","Librica",""))))</f>
        <v>Librica</v>
      </c>
      <c r="O515" t="str">
        <f t="shared" ref="O515:O578" si="26">IF(J515="M","Medium",IF(J515="L","Large",IF(J515="S","Small",IF(J515="D","Dark",""))))</f>
        <v>Large</v>
      </c>
      <c r="P515" t="str">
        <f>_xlfn.XLOOKUP(Table1[[#This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Librica</v>
      </c>
      <c r="O516" t="str">
        <f t="shared" si="26"/>
        <v>Medium</v>
      </c>
      <c r="P516" t="str">
        <f>_xlfn.XLOOKUP(Table1[[#This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Robasta</v>
      </c>
      <c r="O517" t="str">
        <f t="shared" si="26"/>
        <v>Large</v>
      </c>
      <c r="P517" t="str">
        <f>_xlfn.XLOOKUP(Table1[[#This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Robasta</v>
      </c>
      <c r="O518" t="str">
        <f t="shared" si="26"/>
        <v>Dark</v>
      </c>
      <c r="P518" t="str">
        <f>_xlfn.XLOOKUP(Table1[[#This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Librica</v>
      </c>
      <c r="O519" t="str">
        <f t="shared" si="26"/>
        <v>Dark</v>
      </c>
      <c r="P519" t="str">
        <f>_xlfn.XLOOKUP(Table1[[#This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_xlfn.XLOOKUP(Table1[[#This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_xlfn.XLOOKUP(Table1[[#This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Librica</v>
      </c>
      <c r="O522" t="str">
        <f t="shared" si="26"/>
        <v>Dark</v>
      </c>
      <c r="P522" t="str">
        <f>_xlfn.XLOOKUP(Table1[[#This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Robasta</v>
      </c>
      <c r="O523" t="str">
        <f t="shared" si="26"/>
        <v>Medium</v>
      </c>
      <c r="P523" t="str">
        <f>_xlfn.XLOOKUP(Table1[[#This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Robasta</v>
      </c>
      <c r="O524" t="str">
        <f t="shared" si="26"/>
        <v>Medium</v>
      </c>
      <c r="P524" t="str">
        <f>_xlfn.XLOOKUP(Table1[[#This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Librica</v>
      </c>
      <c r="O525" t="str">
        <f t="shared" si="26"/>
        <v>Dark</v>
      </c>
      <c r="P525" t="str">
        <f>_xlfn.XLOOKUP(Table1[[#This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Librica</v>
      </c>
      <c r="O526" t="str">
        <f t="shared" si="26"/>
        <v>Large</v>
      </c>
      <c r="P526" t="str">
        <f>_xlfn.XLOOKUP(Table1[[#This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Robasta</v>
      </c>
      <c r="O527" t="str">
        <f t="shared" si="26"/>
        <v>Dark</v>
      </c>
      <c r="P527" t="str">
        <f>_xlfn.XLOOKUP(Table1[[#This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_xlfn.XLOOKUP(Table1[[#This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_xlfn.XLOOKUP(Table1[[#This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Large</v>
      </c>
      <c r="P530" t="str">
        <f>_xlfn.XLOOKUP(Table1[[#This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Robasta</v>
      </c>
      <c r="O531" t="str">
        <f t="shared" si="26"/>
        <v>Medium</v>
      </c>
      <c r="P531" t="str">
        <f>_xlfn.XLOOKUP(Table1[[#This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Robasta</v>
      </c>
      <c r="O532" t="str">
        <f t="shared" si="26"/>
        <v>Medium</v>
      </c>
      <c r="P532" t="str">
        <f>_xlfn.XLOOKUP(Table1[[#This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Robasta</v>
      </c>
      <c r="O533" t="str">
        <f t="shared" si="26"/>
        <v>Dark</v>
      </c>
      <c r="P533" t="str">
        <f>_xlfn.XLOOKUP(Table1[[#This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_xlfn.XLOOKUP(Table1[[#This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Robasta</v>
      </c>
      <c r="O535" t="str">
        <f t="shared" si="26"/>
        <v>Dark</v>
      </c>
      <c r="P535" t="str">
        <f>_xlfn.XLOOKUP(Table1[[#This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Robasta</v>
      </c>
      <c r="O536" t="str">
        <f t="shared" si="26"/>
        <v>Medium</v>
      </c>
      <c r="P536" t="str">
        <f>_xlfn.XLOOKUP(Table1[[#This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Librica</v>
      </c>
      <c r="O537" t="str">
        <f t="shared" si="26"/>
        <v>Large</v>
      </c>
      <c r="P537" t="str">
        <f>_xlfn.XLOOKUP(Table1[[#This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Robasta</v>
      </c>
      <c r="O538" t="str">
        <f t="shared" si="26"/>
        <v>Dark</v>
      </c>
      <c r="P538" t="str">
        <f>_xlfn.XLOOKUP(Table1[[#This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_xlfn.XLOOKUP(Table1[[#This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Robasta</v>
      </c>
      <c r="O540" t="str">
        <f t="shared" si="26"/>
        <v>Dark</v>
      </c>
      <c r="P540" t="str">
        <f>_xlfn.XLOOKUP(Table1[[#This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Robasta</v>
      </c>
      <c r="O541" t="str">
        <f t="shared" si="26"/>
        <v>Dark</v>
      </c>
      <c r="P541" t="str">
        <f>_xlfn.XLOOKUP(Table1[[#This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Librica</v>
      </c>
      <c r="O542" t="str">
        <f t="shared" si="26"/>
        <v>Large</v>
      </c>
      <c r="P542" t="str">
        <f>_xlfn.XLOOKUP(Table1[[#This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_xlfn.XLOOKUP(Table1[[#This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_xlfn.XLOOKUP(Table1[[#This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Robasta</v>
      </c>
      <c r="O545" t="str">
        <f t="shared" si="26"/>
        <v>Large</v>
      </c>
      <c r="P545" t="str">
        <f>_xlfn.XLOOKUP(Table1[[#This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Large</v>
      </c>
      <c r="P546" t="str">
        <f>_xlfn.XLOOKUP(Table1[[#This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Librica</v>
      </c>
      <c r="O547" t="str">
        <f t="shared" si="26"/>
        <v>Dark</v>
      </c>
      <c r="P547" t="str">
        <f>_xlfn.XLOOKUP(Table1[[#This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_xlfn.XLOOKUP(Table1[[#This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Robasta</v>
      </c>
      <c r="O549" t="str">
        <f t="shared" si="26"/>
        <v>Large</v>
      </c>
      <c r="P549" t="str">
        <f>_xlfn.XLOOKUP(Table1[[#This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Large</v>
      </c>
      <c r="P550" t="str">
        <f>_xlfn.XLOOKUP(Table1[[#This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Large</v>
      </c>
      <c r="P551" t="str">
        <f>_xlfn.XLOOKUP(Table1[[#This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Librica</v>
      </c>
      <c r="O552" t="str">
        <f t="shared" si="26"/>
        <v>Dark</v>
      </c>
      <c r="P552" t="str">
        <f>_xlfn.XLOOKUP(Table1[[#This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_xlfn.XLOOKUP(Table1[[#This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Large</v>
      </c>
      <c r="P554" t="str">
        <f>_xlfn.XLOOKUP(Table1[[#This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_xlfn.XLOOKUP(Table1[[#This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Robasta</v>
      </c>
      <c r="O556" t="str">
        <f t="shared" si="26"/>
        <v>Large</v>
      </c>
      <c r="P556" t="str">
        <f>_xlfn.XLOOKUP(Table1[[#This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_xlfn.XLOOKUP(Table1[[#This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Librica</v>
      </c>
      <c r="O558" t="str">
        <f t="shared" si="26"/>
        <v>Medium</v>
      </c>
      <c r="P558" t="str">
        <f>_xlfn.XLOOKUP(Table1[[#This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Large</v>
      </c>
      <c r="P559" t="str">
        <f>_xlfn.XLOOKUP(Table1[[#This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Librica</v>
      </c>
      <c r="O560" t="str">
        <f t="shared" si="26"/>
        <v>Dark</v>
      </c>
      <c r="P560" t="str">
        <f>_xlfn.XLOOKUP(Table1[[#This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Large</v>
      </c>
      <c r="P561" t="str">
        <f>_xlfn.XLOOKUP(Table1[[#This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_xlfn.XLOOKUP(Table1[[#This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_xlfn.XLOOKUP(Table1[[#This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Librica</v>
      </c>
      <c r="O564" t="str">
        <f t="shared" si="26"/>
        <v>Large</v>
      </c>
      <c r="P564" t="str">
        <f>_xlfn.XLOOKUP(Table1[[#This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_xlfn.XLOOKUP(Table1[[#This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Robasta</v>
      </c>
      <c r="O566" t="str">
        <f t="shared" si="26"/>
        <v>Large</v>
      </c>
      <c r="P566" t="str">
        <f>_xlfn.XLOOKUP(Table1[[#This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Robasta</v>
      </c>
      <c r="O567" t="str">
        <f t="shared" si="26"/>
        <v>Dark</v>
      </c>
      <c r="P567" t="str">
        <f>_xlfn.XLOOKUP(Table1[[#This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_xlfn.XLOOKUP(Table1[[#This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Robasta</v>
      </c>
      <c r="O569" t="str">
        <f t="shared" si="26"/>
        <v>Large</v>
      </c>
      <c r="P569" t="str">
        <f>_xlfn.XLOOKUP(Table1[[#This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Librica</v>
      </c>
      <c r="O570" t="str">
        <f t="shared" si="26"/>
        <v>Large</v>
      </c>
      <c r="P570" t="str">
        <f>_xlfn.XLOOKUP(Table1[[#This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_xlfn.XLOOKUP(Table1[[#This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_xlfn.XLOOKUP(Table1[[#This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Large</v>
      </c>
      <c r="P573" t="str">
        <f>_xlfn.XLOOKUP(Table1[[#This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_xlfn.XLOOKUP(Table1[[#This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_xlfn.XLOOKUP(Table1[[#This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Robasta</v>
      </c>
      <c r="O576" t="str">
        <f t="shared" si="26"/>
        <v>Large</v>
      </c>
      <c r="P576" t="str">
        <f>_xlfn.XLOOKUP(Table1[[#This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Librica</v>
      </c>
      <c r="O577" t="str">
        <f t="shared" si="26"/>
        <v>Medium</v>
      </c>
      <c r="P577" t="str">
        <f>_xlfn.XLOOKUP(Table1[[#This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_xlfn.XLOOKUP(Table1[[#This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IF(I579="Rob","Robasta",IF(I579="Exc","Excelsa",IF(I579="Ara","Arabica",IF(I579="Lib","Librica",""))))</f>
        <v>Librica</v>
      </c>
      <c r="O579" t="str">
        <f t="shared" ref="O579:O642" si="29">IF(J579="M","Medium",IF(J579="L","Large",IF(J579="S","Small",IF(J579="D","Dark",""))))</f>
        <v>Medium</v>
      </c>
      <c r="P579" t="str">
        <f>_xlfn.XLOOKUP(Table1[[#This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Large</v>
      </c>
      <c r="P580" t="str">
        <f>_xlfn.XLOOKUP(Table1[[#This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_xlfn.XLOOKUP(Table1[[#This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Large</v>
      </c>
      <c r="P582" t="str">
        <f>_xlfn.XLOOKUP(Table1[[#This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Large</v>
      </c>
      <c r="P583" t="str">
        <f>_xlfn.XLOOKUP(Table1[[#This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_xlfn.XLOOKUP(Table1[[#This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Robasta</v>
      </c>
      <c r="O585" t="str">
        <f t="shared" si="29"/>
        <v>Large</v>
      </c>
      <c r="P585" t="str">
        <f>_xlfn.XLOOKUP(Table1[[#This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Robasta</v>
      </c>
      <c r="O586" t="str">
        <f t="shared" si="29"/>
        <v>Large</v>
      </c>
      <c r="P586" t="str">
        <f>_xlfn.XLOOKUP(Table1[[#This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_xlfn.XLOOKUP(Table1[[#This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Robasta</v>
      </c>
      <c r="O588" t="str">
        <f t="shared" si="29"/>
        <v>Large</v>
      </c>
      <c r="P588" t="str">
        <f>_xlfn.XLOOKUP(Table1[[#This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Librica</v>
      </c>
      <c r="O589" t="str">
        <f t="shared" si="29"/>
        <v>Dark</v>
      </c>
      <c r="P589" t="str">
        <f>_xlfn.XLOOKUP(Table1[[#This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Robasta</v>
      </c>
      <c r="O590" t="str">
        <f t="shared" si="29"/>
        <v>Medium</v>
      </c>
      <c r="P590" t="str">
        <f>_xlfn.XLOOKUP(Table1[[#This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Large</v>
      </c>
      <c r="P591" t="str">
        <f>_xlfn.XLOOKUP(Table1[[#This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_xlfn.XLOOKUP(Table1[[#This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Robasta</v>
      </c>
      <c r="O593" t="str">
        <f t="shared" si="29"/>
        <v>Dark</v>
      </c>
      <c r="P593" t="str">
        <f>_xlfn.XLOOKUP(Table1[[#This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_xlfn.XLOOKUP(Table1[[#This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_xlfn.XLOOKUP(Table1[[#This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Large</v>
      </c>
      <c r="P596" t="str">
        <f>_xlfn.XLOOKUP(Table1[[#This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Large</v>
      </c>
      <c r="P597" t="str">
        <f>_xlfn.XLOOKUP(Table1[[#This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_xlfn.XLOOKUP(Table1[[#This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Librica</v>
      </c>
      <c r="O599" t="str">
        <f t="shared" si="29"/>
        <v>Large</v>
      </c>
      <c r="P599" t="str">
        <f>_xlfn.XLOOKUP(Table1[[#This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Robasta</v>
      </c>
      <c r="O600" t="str">
        <f t="shared" si="29"/>
        <v>Medium</v>
      </c>
      <c r="P600" t="str">
        <f>_xlfn.XLOOKUP(Table1[[#This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_xlfn.XLOOKUP(Table1[[#This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Librica</v>
      </c>
      <c r="O602" t="str">
        <f t="shared" si="29"/>
        <v>Dark</v>
      </c>
      <c r="P602" t="str">
        <f>_xlfn.XLOOKUP(Table1[[#This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Robasta</v>
      </c>
      <c r="O603" t="str">
        <f t="shared" si="29"/>
        <v>Large</v>
      </c>
      <c r="P603" t="str">
        <f>_xlfn.XLOOKUP(Table1[[#This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Large</v>
      </c>
      <c r="P604" t="str">
        <f>_xlfn.XLOOKUP(Table1[[#This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Robasta</v>
      </c>
      <c r="O605" t="str">
        <f t="shared" si="29"/>
        <v>Medium</v>
      </c>
      <c r="P605" t="str">
        <f>_xlfn.XLOOKUP(Table1[[#This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Librica</v>
      </c>
      <c r="O606" t="str">
        <f t="shared" si="29"/>
        <v>Dark</v>
      </c>
      <c r="P606" t="str">
        <f>_xlfn.XLOOKUP(Table1[[#This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Large</v>
      </c>
      <c r="P607" t="str">
        <f>_xlfn.XLOOKUP(Table1[[#This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Librica</v>
      </c>
      <c r="O608" t="str">
        <f t="shared" si="29"/>
        <v>Large</v>
      </c>
      <c r="P608" t="str">
        <f>_xlfn.XLOOKUP(Table1[[#This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_xlfn.XLOOKUP(Table1[[#This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_xlfn.XLOOKUP(Table1[[#This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Librica</v>
      </c>
      <c r="O611" t="str">
        <f t="shared" si="29"/>
        <v>Medium</v>
      </c>
      <c r="P611" t="str">
        <f>_xlfn.XLOOKUP(Table1[[#This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Robasta</v>
      </c>
      <c r="O612" t="str">
        <f t="shared" si="29"/>
        <v>Medium</v>
      </c>
      <c r="P612" t="str">
        <f>_xlfn.XLOOKUP(Table1[[#This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Large</v>
      </c>
      <c r="P613" t="str">
        <f>_xlfn.XLOOKUP(Table1[[#This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_xlfn.XLOOKUP(Table1[[#This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Robasta</v>
      </c>
      <c r="O615" t="str">
        <f t="shared" si="29"/>
        <v>Medium</v>
      </c>
      <c r="P615" t="str">
        <f>_xlfn.XLOOKUP(Table1[[#This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Robasta</v>
      </c>
      <c r="O616" t="str">
        <f t="shared" si="29"/>
        <v>Medium</v>
      </c>
      <c r="P616" t="str">
        <f>_xlfn.XLOOKUP(Table1[[#This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Librica</v>
      </c>
      <c r="O617" t="str">
        <f t="shared" si="29"/>
        <v>Large</v>
      </c>
      <c r="P617" t="str">
        <f>_xlfn.XLOOKUP(Table1[[#This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_xlfn.XLOOKUP(Table1[[#This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Librica</v>
      </c>
      <c r="O619" t="str">
        <f t="shared" si="29"/>
        <v>Medium</v>
      </c>
      <c r="P619" t="str">
        <f>_xlfn.XLOOKUP(Table1[[#This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_xlfn.XLOOKUP(Table1[[#This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Librica</v>
      </c>
      <c r="O621" t="str">
        <f t="shared" si="29"/>
        <v>Dark</v>
      </c>
      <c r="P621" t="str">
        <f>_xlfn.XLOOKUP(Table1[[#This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_xlfn.XLOOKUP(Table1[[#This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Large</v>
      </c>
      <c r="P623" t="str">
        <f>_xlfn.XLOOKUP(Table1[[#This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Librica</v>
      </c>
      <c r="O624" t="str">
        <f t="shared" si="29"/>
        <v>Medium</v>
      </c>
      <c r="P624" t="str">
        <f>_xlfn.XLOOKUP(Table1[[#This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_xlfn.XLOOKUP(Table1[[#This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_xlfn.XLOOKUP(Table1[[#This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Robasta</v>
      </c>
      <c r="O627" t="str">
        <f t="shared" si="29"/>
        <v>Large</v>
      </c>
      <c r="P627" t="str">
        <f>_xlfn.XLOOKUP(Table1[[#This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_xlfn.XLOOKUP(Table1[[#This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_xlfn.XLOOKUP(Table1[[#This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Large</v>
      </c>
      <c r="P630" t="str">
        <f>_xlfn.XLOOKUP(Table1[[#This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Librica</v>
      </c>
      <c r="O631" t="str">
        <f t="shared" si="29"/>
        <v>Dark</v>
      </c>
      <c r="P631" t="str">
        <f>_xlfn.XLOOKUP(Table1[[#This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_xlfn.XLOOKUP(Table1[[#This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Robasta</v>
      </c>
      <c r="O633" t="str">
        <f t="shared" si="29"/>
        <v>Dark</v>
      </c>
      <c r="P633" t="str">
        <f>_xlfn.XLOOKUP(Table1[[#This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Large</v>
      </c>
      <c r="P634" t="str">
        <f>_xlfn.XLOOKUP(Table1[[#This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Robasta</v>
      </c>
      <c r="O635" t="str">
        <f t="shared" si="29"/>
        <v>Large</v>
      </c>
      <c r="P635" t="str">
        <f>_xlfn.XLOOKUP(Table1[[#This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Librica</v>
      </c>
      <c r="O636" t="str">
        <f t="shared" si="29"/>
        <v>Medium</v>
      </c>
      <c r="P636" t="str">
        <f>_xlfn.XLOOKUP(Table1[[#This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Large</v>
      </c>
      <c r="P637" t="str">
        <f>_xlfn.XLOOKUP(Table1[[#This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Librica</v>
      </c>
      <c r="O638" t="str">
        <f t="shared" si="29"/>
        <v>Large</v>
      </c>
      <c r="P638" t="str">
        <f>_xlfn.XLOOKUP(Table1[[#This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_xlfn.XLOOKUP(Table1[[#This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_xlfn.XLOOKUP(Table1[[#This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Librica</v>
      </c>
      <c r="O641" t="str">
        <f t="shared" si="29"/>
        <v>Dark</v>
      </c>
      <c r="P641" t="str">
        <f>_xlfn.XLOOKUP(Table1[[#This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27"/>
        <v>137.42499999999998</v>
      </c>
      <c r="N642" t="str">
        <f t="shared" si="28"/>
        <v>Robasta</v>
      </c>
      <c r="O642" t="str">
        <f t="shared" si="29"/>
        <v>Large</v>
      </c>
      <c r="P642" t="str">
        <f>_xlfn.XLOOKUP(Table1[[#This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IF(I643="Rob","Robasta",IF(I643="Exc","Excelsa",IF(I643="Ara","Arabica",IF(I643="Lib","Librica",""))))</f>
        <v>Robasta</v>
      </c>
      <c r="O643" t="str">
        <f t="shared" ref="O643:O706" si="32">IF(J643="M","Medium",IF(J643="L","Large",IF(J643="S","Small",IF(J643="D","Dark",""))))</f>
        <v>Large</v>
      </c>
      <c r="P643" t="str">
        <f>_xlfn.XLOOKUP(Table1[[#This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_xlfn.XLOOKUP(Table1[[#This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Large</v>
      </c>
      <c r="P645" t="str">
        <f>_xlfn.XLOOKUP(Table1[[#This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Robasta</v>
      </c>
      <c r="O646" t="str">
        <f t="shared" si="32"/>
        <v>Dark</v>
      </c>
      <c r="P646" t="str">
        <f>_xlfn.XLOOKUP(Table1[[#This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_xlfn.XLOOKUP(Table1[[#This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_xlfn.XLOOKUP(Table1[[#This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Librica</v>
      </c>
      <c r="O649" t="str">
        <f t="shared" si="32"/>
        <v>Large</v>
      </c>
      <c r="P649" t="str">
        <f>_xlfn.XLOOKUP(Table1[[#This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Robasta</v>
      </c>
      <c r="O650" t="str">
        <f t="shared" si="32"/>
        <v>Dark</v>
      </c>
      <c r="P650" t="str">
        <f>_xlfn.XLOOKUP(Table1[[#This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Librica</v>
      </c>
      <c r="O651" t="str">
        <f t="shared" si="32"/>
        <v>Large</v>
      </c>
      <c r="P651" t="str">
        <f>_xlfn.XLOOKUP(Table1[[#This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Robasta</v>
      </c>
      <c r="O652" t="str">
        <f t="shared" si="32"/>
        <v>Dark</v>
      </c>
      <c r="P652" t="str">
        <f>_xlfn.XLOOKUP(Table1[[#This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Robasta</v>
      </c>
      <c r="O653" t="str">
        <f t="shared" si="32"/>
        <v>Large</v>
      </c>
      <c r="P653" t="str">
        <f>_xlfn.XLOOKUP(Table1[[#This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Librica</v>
      </c>
      <c r="O654" t="str">
        <f t="shared" si="32"/>
        <v>Large</v>
      </c>
      <c r="P654" t="str">
        <f>_xlfn.XLOOKUP(Table1[[#This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_xlfn.XLOOKUP(Table1[[#This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_xlfn.XLOOKUP(Table1[[#This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Robasta</v>
      </c>
      <c r="O657" t="str">
        <f t="shared" si="32"/>
        <v>Medium</v>
      </c>
      <c r="P657" t="str">
        <f>_xlfn.XLOOKUP(Table1[[#This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Librica</v>
      </c>
      <c r="O658" t="str">
        <f t="shared" si="32"/>
        <v>Dark</v>
      </c>
      <c r="P658" t="str">
        <f>_xlfn.XLOOKUP(Table1[[#This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_xlfn.XLOOKUP(Table1[[#This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_xlfn.XLOOKUP(Table1[[#This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_xlfn.XLOOKUP(Table1[[#This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Large</v>
      </c>
      <c r="P662" t="str">
        <f>_xlfn.XLOOKUP(Table1[[#This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_xlfn.XLOOKUP(Table1[[#This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Librica</v>
      </c>
      <c r="O664" t="str">
        <f t="shared" si="32"/>
        <v>Dark</v>
      </c>
      <c r="P664" t="str">
        <f>_xlfn.XLOOKUP(Table1[[#This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_xlfn.XLOOKUP(Table1[[#This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_xlfn.XLOOKUP(Table1[[#This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Librica</v>
      </c>
      <c r="O667" t="str">
        <f t="shared" si="32"/>
        <v>Dark</v>
      </c>
      <c r="P667" t="str">
        <f>_xlfn.XLOOKUP(Table1[[#This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_xlfn.XLOOKUP(Table1[[#This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_xlfn.XLOOKUP(Table1[[#This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Robasta</v>
      </c>
      <c r="O670" t="str">
        <f t="shared" si="32"/>
        <v>Large</v>
      </c>
      <c r="P670" t="str">
        <f>_xlfn.XLOOKUP(Table1[[#This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Librica</v>
      </c>
      <c r="O671" t="str">
        <f t="shared" si="32"/>
        <v>Medium</v>
      </c>
      <c r="P671" t="str">
        <f>_xlfn.XLOOKUP(Table1[[#This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Librica</v>
      </c>
      <c r="O672" t="str">
        <f t="shared" si="32"/>
        <v>Medium</v>
      </c>
      <c r="P672" t="str">
        <f>_xlfn.XLOOKUP(Table1[[#This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Robasta</v>
      </c>
      <c r="O673" t="str">
        <f t="shared" si="32"/>
        <v>Large</v>
      </c>
      <c r="P673" t="str">
        <f>_xlfn.XLOOKUP(Table1[[#This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Librica</v>
      </c>
      <c r="O674" t="str">
        <f t="shared" si="32"/>
        <v>Medium</v>
      </c>
      <c r="P674" t="str">
        <f>_xlfn.XLOOKUP(Table1[[#This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_xlfn.XLOOKUP(Table1[[#This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Large</v>
      </c>
      <c r="P676" t="str">
        <f>_xlfn.XLOOKUP(Table1[[#This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Librica</v>
      </c>
      <c r="O677" t="str">
        <f t="shared" si="32"/>
        <v>Dark</v>
      </c>
      <c r="P677" t="str">
        <f>_xlfn.XLOOKUP(Table1[[#This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Librica</v>
      </c>
      <c r="O678" t="str">
        <f t="shared" si="32"/>
        <v>Large</v>
      </c>
      <c r="P678" t="str">
        <f>_xlfn.XLOOKUP(Table1[[#This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Librica</v>
      </c>
      <c r="O679" t="str">
        <f t="shared" si="32"/>
        <v>Medium</v>
      </c>
      <c r="P679" t="str">
        <f>_xlfn.XLOOKUP(Table1[[#This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Large</v>
      </c>
      <c r="P680" t="str">
        <f>_xlfn.XLOOKUP(Table1[[#This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Robasta</v>
      </c>
      <c r="O681" t="str">
        <f t="shared" si="32"/>
        <v>Large</v>
      </c>
      <c r="P681" t="str">
        <f>_xlfn.XLOOKUP(Table1[[#This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_xlfn.XLOOKUP(Table1[[#This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Librica</v>
      </c>
      <c r="O683" t="str">
        <f t="shared" si="32"/>
        <v>Large</v>
      </c>
      <c r="P683" t="str">
        <f>_xlfn.XLOOKUP(Table1[[#This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_xlfn.XLOOKUP(Table1[[#This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Librica</v>
      </c>
      <c r="O685" t="str">
        <f t="shared" si="32"/>
        <v>Dark</v>
      </c>
      <c r="P685" t="str">
        <f>_xlfn.XLOOKUP(Table1[[#This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Robasta</v>
      </c>
      <c r="O686" t="str">
        <f t="shared" si="32"/>
        <v>Large</v>
      </c>
      <c r="P686" t="str">
        <f>_xlfn.XLOOKUP(Table1[[#This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Librica</v>
      </c>
      <c r="O687" t="str">
        <f t="shared" si="32"/>
        <v>Large</v>
      </c>
      <c r="P687" t="str">
        <f>_xlfn.XLOOKUP(Table1[[#This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Robasta</v>
      </c>
      <c r="O688" t="str">
        <f t="shared" si="32"/>
        <v>Dark</v>
      </c>
      <c r="P688" t="str">
        <f>_xlfn.XLOOKUP(Table1[[#This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_xlfn.XLOOKUP(Table1[[#This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Large</v>
      </c>
      <c r="P690" t="str">
        <f>_xlfn.XLOOKUP(Table1[[#This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_xlfn.XLOOKUP(Table1[[#This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Librica</v>
      </c>
      <c r="O692" t="str">
        <f t="shared" si="32"/>
        <v>Dark</v>
      </c>
      <c r="P692" t="str">
        <f>_xlfn.XLOOKUP(Table1[[#This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_xlfn.XLOOKUP(Table1[[#This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Librica</v>
      </c>
      <c r="O694" t="str">
        <f t="shared" si="32"/>
        <v>Dark</v>
      </c>
      <c r="P694" t="str">
        <f>_xlfn.XLOOKUP(Table1[[#This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_xlfn.XLOOKUP(Table1[[#This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_xlfn.XLOOKUP(Table1[[#This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Librica</v>
      </c>
      <c r="O697" t="str">
        <f t="shared" si="32"/>
        <v>Large</v>
      </c>
      <c r="P697" t="str">
        <f>_xlfn.XLOOKUP(Table1[[#This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Librica</v>
      </c>
      <c r="O698" t="str">
        <f t="shared" si="32"/>
        <v>Dark</v>
      </c>
      <c r="P698" t="str">
        <f>_xlfn.XLOOKUP(Table1[[#This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_xlfn.XLOOKUP(Table1[[#This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Librica</v>
      </c>
      <c r="O700" t="str">
        <f t="shared" si="32"/>
        <v>Dark</v>
      </c>
      <c r="P700" t="str">
        <f>_xlfn.XLOOKUP(Table1[[#This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_xlfn.XLOOKUP(Table1[[#This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Librica</v>
      </c>
      <c r="O702" t="str">
        <f t="shared" si="32"/>
        <v>Large</v>
      </c>
      <c r="P702" t="str">
        <f>_xlfn.XLOOKUP(Table1[[#This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_xlfn.XLOOKUP(Table1[[#This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Large</v>
      </c>
      <c r="P704" t="str">
        <f>_xlfn.XLOOKUP(Table1[[#This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Librica</v>
      </c>
      <c r="O705" t="str">
        <f t="shared" si="32"/>
        <v>Dark</v>
      </c>
      <c r="P705" t="str">
        <f>_xlfn.XLOOKUP(Table1[[#This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_xlfn.XLOOKUP(Table1[[#This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IF(I707="Rob","Robasta",IF(I707="Exc","Excelsa",IF(I707="Ara","Arabica",IF(I707="Lib","Librica",""))))</f>
        <v>Excelsa</v>
      </c>
      <c r="O707" t="str">
        <f t="shared" ref="O707:O770" si="35">IF(J707="M","Medium",IF(J707="L","Large",IF(J707="S","Small",IF(J707="D","Dark",""))))</f>
        <v>Large</v>
      </c>
      <c r="P707" t="str">
        <f>_xlfn.XLOOKUP(Table1[[#This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_xlfn.XLOOKUP(Table1[[#This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Librica</v>
      </c>
      <c r="O709" t="str">
        <f t="shared" si="35"/>
        <v>Dark</v>
      </c>
      <c r="P709" t="str">
        <f>_xlfn.XLOOKUP(Table1[[#This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_xlfn.XLOOKUP(Table1[[#This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Large</v>
      </c>
      <c r="P711" t="str">
        <f>_xlfn.XLOOKUP(Table1[[#This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_xlfn.XLOOKUP(Table1[[#This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Robasta</v>
      </c>
      <c r="O713" t="str">
        <f t="shared" si="35"/>
        <v>Medium</v>
      </c>
      <c r="P713" t="str">
        <f>_xlfn.XLOOKUP(Table1[[#This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_xlfn.XLOOKUP(Table1[[#This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Robasta</v>
      </c>
      <c r="O715" t="str">
        <f t="shared" si="35"/>
        <v>Medium</v>
      </c>
      <c r="P715" t="str">
        <f>_xlfn.XLOOKUP(Table1[[#This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_xlfn.XLOOKUP(Table1[[#This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Large</v>
      </c>
      <c r="P717" t="str">
        <f>_xlfn.XLOOKUP(Table1[[#This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Robasta</v>
      </c>
      <c r="O718" t="str">
        <f t="shared" si="35"/>
        <v>Large</v>
      </c>
      <c r="P718" t="str">
        <f>_xlfn.XLOOKUP(Table1[[#This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_xlfn.XLOOKUP(Table1[[#This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Librica</v>
      </c>
      <c r="O720" t="str">
        <f t="shared" si="35"/>
        <v>Dark</v>
      </c>
      <c r="P720" t="str">
        <f>_xlfn.XLOOKUP(Table1[[#This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Librica</v>
      </c>
      <c r="O721" t="str">
        <f t="shared" si="35"/>
        <v>Large</v>
      </c>
      <c r="P721" t="str">
        <f>_xlfn.XLOOKUP(Table1[[#This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_xlfn.XLOOKUP(Table1[[#This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Robasta</v>
      </c>
      <c r="O723" t="str">
        <f t="shared" si="35"/>
        <v>Medium</v>
      </c>
      <c r="P723" t="str">
        <f>_xlfn.XLOOKUP(Table1[[#This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_xlfn.XLOOKUP(Table1[[#This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_xlfn.XLOOKUP(Table1[[#This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_xlfn.XLOOKUP(Table1[[#This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Large</v>
      </c>
      <c r="P727" t="str">
        <f>_xlfn.XLOOKUP(Table1[[#This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Librica</v>
      </c>
      <c r="O728" t="str">
        <f t="shared" si="35"/>
        <v>Large</v>
      </c>
      <c r="P728" t="str">
        <f>_xlfn.XLOOKUP(Table1[[#This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Robasta</v>
      </c>
      <c r="O729" t="str">
        <f t="shared" si="35"/>
        <v>Medium</v>
      </c>
      <c r="P729" t="str">
        <f>_xlfn.XLOOKUP(Table1[[#This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_xlfn.XLOOKUP(Table1[[#This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Librica</v>
      </c>
      <c r="O731" t="str">
        <f t="shared" si="35"/>
        <v>Medium</v>
      </c>
      <c r="P731" t="str">
        <f>_xlfn.XLOOKUP(Table1[[#This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Librica</v>
      </c>
      <c r="O732" t="str">
        <f t="shared" si="35"/>
        <v>Large</v>
      </c>
      <c r="P732" t="str">
        <f>_xlfn.XLOOKUP(Table1[[#This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Librica</v>
      </c>
      <c r="O733" t="str">
        <f t="shared" si="35"/>
        <v>Dark</v>
      </c>
      <c r="P733" t="str">
        <f>_xlfn.XLOOKUP(Table1[[#This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Large</v>
      </c>
      <c r="P734" t="str">
        <f>_xlfn.XLOOKUP(Table1[[#This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Librica</v>
      </c>
      <c r="O735" t="str">
        <f t="shared" si="35"/>
        <v>Medium</v>
      </c>
      <c r="P735" t="str">
        <f>_xlfn.XLOOKUP(Table1[[#This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Robasta</v>
      </c>
      <c r="O736" t="str">
        <f t="shared" si="35"/>
        <v>Dark</v>
      </c>
      <c r="P736" t="str">
        <f>_xlfn.XLOOKUP(Table1[[#This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_xlfn.XLOOKUP(Table1[[#This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Librica</v>
      </c>
      <c r="O738" t="str">
        <f t="shared" si="35"/>
        <v>Dark</v>
      </c>
      <c r="P738" t="str">
        <f>_xlfn.XLOOKUP(Table1[[#This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_xlfn.XLOOKUP(Table1[[#This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Robasta</v>
      </c>
      <c r="O740" t="str">
        <f t="shared" si="35"/>
        <v>Large</v>
      </c>
      <c r="P740" t="str">
        <f>_xlfn.XLOOKUP(Table1[[#This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_xlfn.XLOOKUP(Table1[[#This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Robasta</v>
      </c>
      <c r="O742" t="str">
        <f t="shared" si="35"/>
        <v>Large</v>
      </c>
      <c r="P742" t="str">
        <f>_xlfn.XLOOKUP(Table1[[#This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Librica</v>
      </c>
      <c r="O743" t="str">
        <f t="shared" si="35"/>
        <v>Medium</v>
      </c>
      <c r="P743" t="str">
        <f>_xlfn.XLOOKUP(Table1[[#This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Librica</v>
      </c>
      <c r="O744" t="str">
        <f t="shared" si="35"/>
        <v>Medium</v>
      </c>
      <c r="P744" t="str">
        <f>_xlfn.XLOOKUP(Table1[[#This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_xlfn.XLOOKUP(Table1[[#This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Robasta</v>
      </c>
      <c r="O746" t="str">
        <f t="shared" si="35"/>
        <v>Medium</v>
      </c>
      <c r="P746" t="str">
        <f>_xlfn.XLOOKUP(Table1[[#This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_xlfn.XLOOKUP(Table1[[#This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_xlfn.XLOOKUP(Table1[[#This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Librica</v>
      </c>
      <c r="O749" t="str">
        <f t="shared" si="35"/>
        <v>Medium</v>
      </c>
      <c r="P749" t="str">
        <f>_xlfn.XLOOKUP(Table1[[#This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_xlfn.XLOOKUP(Table1[[#This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Robasta</v>
      </c>
      <c r="O751" t="str">
        <f t="shared" si="35"/>
        <v>Dark</v>
      </c>
      <c r="P751" t="str">
        <f>_xlfn.XLOOKUP(Table1[[#This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Robasta</v>
      </c>
      <c r="O752" t="str">
        <f t="shared" si="35"/>
        <v>Medium</v>
      </c>
      <c r="P752" t="str">
        <f>_xlfn.XLOOKUP(Table1[[#This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Librica</v>
      </c>
      <c r="O753" t="str">
        <f t="shared" si="35"/>
        <v>Large</v>
      </c>
      <c r="P753" t="str">
        <f>_xlfn.XLOOKUP(Table1[[#This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_xlfn.XLOOKUP(Table1[[#This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_xlfn.XLOOKUP(Table1[[#This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_xlfn.XLOOKUP(Table1[[#This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Librica</v>
      </c>
      <c r="O757" t="str">
        <f t="shared" si="35"/>
        <v>Large</v>
      </c>
      <c r="P757" t="str">
        <f>_xlfn.XLOOKUP(Table1[[#This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Robasta</v>
      </c>
      <c r="O758" t="str">
        <f t="shared" si="35"/>
        <v>Dark</v>
      </c>
      <c r="P758" t="str">
        <f>_xlfn.XLOOKUP(Table1[[#This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_xlfn.XLOOKUP(Table1[[#This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Robasta</v>
      </c>
      <c r="O760" t="str">
        <f t="shared" si="35"/>
        <v>Dark</v>
      </c>
      <c r="P760" t="str">
        <f>_xlfn.XLOOKUP(Table1[[#This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Librica</v>
      </c>
      <c r="O761" t="str">
        <f t="shared" si="35"/>
        <v>Dark</v>
      </c>
      <c r="P761" t="str">
        <f>_xlfn.XLOOKUP(Table1[[#This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Large</v>
      </c>
      <c r="P762" t="str">
        <f>_xlfn.XLOOKUP(Table1[[#This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Large</v>
      </c>
      <c r="P763" t="str">
        <f>_xlfn.XLOOKUP(Table1[[#This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Librica</v>
      </c>
      <c r="O764" t="str">
        <f t="shared" si="35"/>
        <v>Medium</v>
      </c>
      <c r="P764" t="str">
        <f>_xlfn.XLOOKUP(Table1[[#This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Large</v>
      </c>
      <c r="P765" t="str">
        <f>_xlfn.XLOOKUP(Table1[[#This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Large</v>
      </c>
      <c r="P766" t="str">
        <f>_xlfn.XLOOKUP(Table1[[#This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Robasta</v>
      </c>
      <c r="O767" t="str">
        <f t="shared" si="35"/>
        <v>Medium</v>
      </c>
      <c r="P767" t="str">
        <f>_xlfn.XLOOKUP(Table1[[#This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Large</v>
      </c>
      <c r="P768" t="str">
        <f>_xlfn.XLOOKUP(Table1[[#This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Large</v>
      </c>
      <c r="P769" t="str">
        <f>_xlfn.XLOOKUP(Table1[[#This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33"/>
        <v>23.9</v>
      </c>
      <c r="N770" t="str">
        <f t="shared" si="34"/>
        <v>Robasta</v>
      </c>
      <c r="O770" t="str">
        <f t="shared" si="35"/>
        <v>Large</v>
      </c>
      <c r="P770" t="str">
        <f>_xlfn.XLOOKUP(Table1[[#This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IF(I771="Rob","Robasta",IF(I771="Exc","Excelsa",IF(I771="Ara","Arabica",IF(I771="Lib","Librica",""))))</f>
        <v>Robasta</v>
      </c>
      <c r="O771" t="str">
        <f t="shared" ref="O771:O834" si="38">IF(J771="M","Medium",IF(J771="L","Large",IF(J771="S","Small",IF(J771="D","Dark",""))))</f>
        <v>Medium</v>
      </c>
      <c r="P771" t="str">
        <f>_xlfn.XLOOKUP(Table1[[#This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_xlfn.XLOOKUP(Table1[[#This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Robasta</v>
      </c>
      <c r="O773" t="str">
        <f t="shared" si="38"/>
        <v>Large</v>
      </c>
      <c r="P773" t="str">
        <f>_xlfn.XLOOKUP(Table1[[#This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_xlfn.XLOOKUP(Table1[[#This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Librica</v>
      </c>
      <c r="O775" t="str">
        <f t="shared" si="38"/>
        <v>Medium</v>
      </c>
      <c r="P775" t="str">
        <f>_xlfn.XLOOKUP(Table1[[#This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Robasta</v>
      </c>
      <c r="O776" t="str">
        <f t="shared" si="38"/>
        <v>Medium</v>
      </c>
      <c r="P776" t="str">
        <f>_xlfn.XLOOKUP(Table1[[#This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Large</v>
      </c>
      <c r="P777" t="str">
        <f>_xlfn.XLOOKUP(Table1[[#This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_xlfn.XLOOKUP(Table1[[#This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Large</v>
      </c>
      <c r="P779" t="str">
        <f>_xlfn.XLOOKUP(Table1[[#This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Librica</v>
      </c>
      <c r="O780" t="str">
        <f t="shared" si="38"/>
        <v>Large</v>
      </c>
      <c r="P780" t="str">
        <f>_xlfn.XLOOKUP(Table1[[#This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Librica</v>
      </c>
      <c r="O781" t="str">
        <f t="shared" si="38"/>
        <v>Dark</v>
      </c>
      <c r="P781" t="str">
        <f>_xlfn.XLOOKUP(Table1[[#This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_xlfn.XLOOKUP(Table1[[#This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Librica</v>
      </c>
      <c r="O783" t="str">
        <f t="shared" si="38"/>
        <v>Large</v>
      </c>
      <c r="P783" t="str">
        <f>_xlfn.XLOOKUP(Table1[[#This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Large</v>
      </c>
      <c r="P784" t="str">
        <f>_xlfn.XLOOKUP(Table1[[#This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Librica</v>
      </c>
      <c r="O785" t="str">
        <f t="shared" si="38"/>
        <v>Medium</v>
      </c>
      <c r="P785" t="str">
        <f>_xlfn.XLOOKUP(Table1[[#This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Librica</v>
      </c>
      <c r="O786" t="str">
        <f t="shared" si="38"/>
        <v>Large</v>
      </c>
      <c r="P786" t="str">
        <f>_xlfn.XLOOKUP(Table1[[#This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_xlfn.XLOOKUP(Table1[[#This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_xlfn.XLOOKUP(Table1[[#This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_xlfn.XLOOKUP(Table1[[#This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Robasta</v>
      </c>
      <c r="O790" t="str">
        <f t="shared" si="38"/>
        <v>Medium</v>
      </c>
      <c r="P790" t="str">
        <f>_xlfn.XLOOKUP(Table1[[#This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Large</v>
      </c>
      <c r="P791" t="str">
        <f>_xlfn.XLOOKUP(Table1[[#This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Large</v>
      </c>
      <c r="P792" t="str">
        <f>_xlfn.XLOOKUP(Table1[[#This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Librica</v>
      </c>
      <c r="O793" t="str">
        <f t="shared" si="38"/>
        <v>Large</v>
      </c>
      <c r="P793" t="str">
        <f>_xlfn.XLOOKUP(Table1[[#This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Librica</v>
      </c>
      <c r="O794" t="str">
        <f t="shared" si="38"/>
        <v>Medium</v>
      </c>
      <c r="P794" t="str">
        <f>_xlfn.XLOOKUP(Table1[[#This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Robasta</v>
      </c>
      <c r="O795" t="str">
        <f t="shared" si="38"/>
        <v>Large</v>
      </c>
      <c r="P795" t="str">
        <f>_xlfn.XLOOKUP(Table1[[#This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Large</v>
      </c>
      <c r="P796" t="str">
        <f>_xlfn.XLOOKUP(Table1[[#This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Robasta</v>
      </c>
      <c r="O797" t="str">
        <f t="shared" si="38"/>
        <v>Large</v>
      </c>
      <c r="P797" t="str">
        <f>_xlfn.XLOOKUP(Table1[[#This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Librica</v>
      </c>
      <c r="O798" t="str">
        <f t="shared" si="38"/>
        <v>Large</v>
      </c>
      <c r="P798" t="str">
        <f>_xlfn.XLOOKUP(Table1[[#This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Large</v>
      </c>
      <c r="P799" t="str">
        <f>_xlfn.XLOOKUP(Table1[[#This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Robasta</v>
      </c>
      <c r="O800" t="str">
        <f t="shared" si="38"/>
        <v>Dark</v>
      </c>
      <c r="P800" t="str">
        <f>_xlfn.XLOOKUP(Table1[[#This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_xlfn.XLOOKUP(Table1[[#This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Robasta</v>
      </c>
      <c r="O802" t="str">
        <f t="shared" si="38"/>
        <v>Dark</v>
      </c>
      <c r="P802" t="str">
        <f>_xlfn.XLOOKUP(Table1[[#This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Robasta</v>
      </c>
      <c r="O803" t="str">
        <f t="shared" si="38"/>
        <v>Dark</v>
      </c>
      <c r="P803" t="str">
        <f>_xlfn.XLOOKUP(Table1[[#This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Robasta</v>
      </c>
      <c r="O804" t="str">
        <f t="shared" si="38"/>
        <v>Dark</v>
      </c>
      <c r="P804" t="str">
        <f>_xlfn.XLOOKUP(Table1[[#This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_xlfn.XLOOKUP(Table1[[#This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Robasta</v>
      </c>
      <c r="O806" t="str">
        <f t="shared" si="38"/>
        <v>Large</v>
      </c>
      <c r="P806" t="str">
        <f>_xlfn.XLOOKUP(Table1[[#This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Robasta</v>
      </c>
      <c r="O807" t="str">
        <f t="shared" si="38"/>
        <v>Medium</v>
      </c>
      <c r="P807" t="str">
        <f>_xlfn.XLOOKUP(Table1[[#This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Librica</v>
      </c>
      <c r="O808" t="str">
        <f t="shared" si="38"/>
        <v>Dark</v>
      </c>
      <c r="P808" t="str">
        <f>_xlfn.XLOOKUP(Table1[[#This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Librica</v>
      </c>
      <c r="O809" t="str">
        <f t="shared" si="38"/>
        <v>Dark</v>
      </c>
      <c r="P809" t="str">
        <f>_xlfn.XLOOKUP(Table1[[#This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Robasta</v>
      </c>
      <c r="O810" t="str">
        <f t="shared" si="38"/>
        <v>Large</v>
      </c>
      <c r="P810" t="str">
        <f>_xlfn.XLOOKUP(Table1[[#This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Robasta</v>
      </c>
      <c r="O811" t="str">
        <f t="shared" si="38"/>
        <v>Dark</v>
      </c>
      <c r="P811" t="str">
        <f>_xlfn.XLOOKUP(Table1[[#This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Librica</v>
      </c>
      <c r="O812" t="str">
        <f t="shared" si="38"/>
        <v>Large</v>
      </c>
      <c r="P812" t="str">
        <f>_xlfn.XLOOKUP(Table1[[#This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_xlfn.XLOOKUP(Table1[[#This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Librica</v>
      </c>
      <c r="O814" t="str">
        <f t="shared" si="38"/>
        <v>Dark</v>
      </c>
      <c r="P814" t="str">
        <f>_xlfn.XLOOKUP(Table1[[#This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_xlfn.XLOOKUP(Table1[[#This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Large</v>
      </c>
      <c r="P816" t="str">
        <f>_xlfn.XLOOKUP(Table1[[#This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Robasta</v>
      </c>
      <c r="O817" t="str">
        <f t="shared" si="38"/>
        <v>Medium</v>
      </c>
      <c r="P817" t="str">
        <f>_xlfn.XLOOKUP(Table1[[#This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Librica</v>
      </c>
      <c r="O818" t="str">
        <f t="shared" si="38"/>
        <v>Large</v>
      </c>
      <c r="P818" t="str">
        <f>_xlfn.XLOOKUP(Table1[[#This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Librica</v>
      </c>
      <c r="O819" t="str">
        <f t="shared" si="38"/>
        <v>Dark</v>
      </c>
      <c r="P819" t="str">
        <f>_xlfn.XLOOKUP(Table1[[#This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Librica</v>
      </c>
      <c r="O820" t="str">
        <f t="shared" si="38"/>
        <v>Large</v>
      </c>
      <c r="P820" t="str">
        <f>_xlfn.XLOOKUP(Table1[[#This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Librica</v>
      </c>
      <c r="O821" t="str">
        <f t="shared" si="38"/>
        <v>Large</v>
      </c>
      <c r="P821" t="str">
        <f>_xlfn.XLOOKUP(Table1[[#This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_xlfn.XLOOKUP(Table1[[#This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Robasta</v>
      </c>
      <c r="O823" t="str">
        <f t="shared" si="38"/>
        <v>Dark</v>
      </c>
      <c r="P823" t="str">
        <f>_xlfn.XLOOKUP(Table1[[#This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Large</v>
      </c>
      <c r="P824" t="str">
        <f>_xlfn.XLOOKUP(Table1[[#This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Librica</v>
      </c>
      <c r="O825" t="str">
        <f t="shared" si="38"/>
        <v>Large</v>
      </c>
      <c r="P825" t="str">
        <f>_xlfn.XLOOKUP(Table1[[#This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_xlfn.XLOOKUP(Table1[[#This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_xlfn.XLOOKUP(Table1[[#This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_xlfn.XLOOKUP(Table1[[#This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_xlfn.XLOOKUP(Table1[[#This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_xlfn.XLOOKUP(Table1[[#This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_xlfn.XLOOKUP(Table1[[#This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_xlfn.XLOOKUP(Table1[[#This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_xlfn.XLOOKUP(Table1[[#This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36"/>
        <v>59.699999999999996</v>
      </c>
      <c r="N834" t="str">
        <f t="shared" si="37"/>
        <v>Robasta</v>
      </c>
      <c r="O834" t="str">
        <f t="shared" si="38"/>
        <v>Medium</v>
      </c>
      <c r="P834" t="str">
        <f>_xlfn.XLOOKUP(Table1[[#This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IF(I835="Rob","Robasta",IF(I835="Exc","Excelsa",IF(I835="Ara","Arabica",IF(I835="Lib","Librica",""))))</f>
        <v>Robasta</v>
      </c>
      <c r="O835" t="str">
        <f t="shared" ref="O835:O898" si="41">IF(J835="M","Medium",IF(J835="L","Large",IF(J835="S","Small",IF(J835="D","Dark",""))))</f>
        <v>Dark</v>
      </c>
      <c r="P835" t="str">
        <f>_xlfn.XLOOKUP(Table1[[#This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_xlfn.XLOOKUP(Table1[[#This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Large</v>
      </c>
      <c r="P837" t="str">
        <f>_xlfn.XLOOKUP(Table1[[#This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_xlfn.XLOOKUP(Table1[[#This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Librica</v>
      </c>
      <c r="O839" t="str">
        <f t="shared" si="41"/>
        <v>Medium</v>
      </c>
      <c r="P839" t="str">
        <f>_xlfn.XLOOKUP(Table1[[#This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_xlfn.XLOOKUP(Table1[[#This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_xlfn.XLOOKUP(Table1[[#This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Robasta</v>
      </c>
      <c r="O842" t="str">
        <f t="shared" si="41"/>
        <v>Large</v>
      </c>
      <c r="P842" t="str">
        <f>_xlfn.XLOOKUP(Table1[[#This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Librica</v>
      </c>
      <c r="O843" t="str">
        <f t="shared" si="41"/>
        <v>Medium</v>
      </c>
      <c r="P843" t="str">
        <f>_xlfn.XLOOKUP(Table1[[#This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_xlfn.XLOOKUP(Table1[[#This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_xlfn.XLOOKUP(Table1[[#This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_xlfn.XLOOKUP(Table1[[#This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_xlfn.XLOOKUP(Table1[[#This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_xlfn.XLOOKUP(Table1[[#This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_xlfn.XLOOKUP(Table1[[#This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Large</v>
      </c>
      <c r="P850" t="str">
        <f>_xlfn.XLOOKUP(Table1[[#This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Large</v>
      </c>
      <c r="P851" t="str">
        <f>_xlfn.XLOOKUP(Table1[[#This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_xlfn.XLOOKUP(Table1[[#This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Librica</v>
      </c>
      <c r="O853" t="str">
        <f t="shared" si="41"/>
        <v>Dark</v>
      </c>
      <c r="P853" t="str">
        <f>_xlfn.XLOOKUP(Table1[[#This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Librica</v>
      </c>
      <c r="O854" t="str">
        <f t="shared" si="41"/>
        <v>Dark</v>
      </c>
      <c r="P854" t="str">
        <f>_xlfn.XLOOKUP(Table1[[#This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_xlfn.XLOOKUP(Table1[[#This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Robasta</v>
      </c>
      <c r="O856" t="str">
        <f t="shared" si="41"/>
        <v>Large</v>
      </c>
      <c r="P856" t="str">
        <f>_xlfn.XLOOKUP(Table1[[#This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Librica</v>
      </c>
      <c r="O857" t="str">
        <f t="shared" si="41"/>
        <v>Dark</v>
      </c>
      <c r="P857" t="str">
        <f>_xlfn.XLOOKUP(Table1[[#This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Librica</v>
      </c>
      <c r="O858" t="str">
        <f t="shared" si="41"/>
        <v>Medium</v>
      </c>
      <c r="P858" t="str">
        <f>_xlfn.XLOOKUP(Table1[[#This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Robasta</v>
      </c>
      <c r="O859" t="str">
        <f t="shared" si="41"/>
        <v>Large</v>
      </c>
      <c r="P859" t="str">
        <f>_xlfn.XLOOKUP(Table1[[#This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Librica</v>
      </c>
      <c r="O860" t="str">
        <f t="shared" si="41"/>
        <v>Medium</v>
      </c>
      <c r="P860" t="str">
        <f>_xlfn.XLOOKUP(Table1[[#This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Large</v>
      </c>
      <c r="P861" t="str">
        <f>_xlfn.XLOOKUP(Table1[[#This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_xlfn.XLOOKUP(Table1[[#This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Librica</v>
      </c>
      <c r="O863" t="str">
        <f t="shared" si="41"/>
        <v>Dark</v>
      </c>
      <c r="P863" t="str">
        <f>_xlfn.XLOOKUP(Table1[[#This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Robasta</v>
      </c>
      <c r="O864" t="str">
        <f t="shared" si="41"/>
        <v>Medium</v>
      </c>
      <c r="P864" t="str">
        <f>_xlfn.XLOOKUP(Table1[[#This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Librica</v>
      </c>
      <c r="O865" t="str">
        <f t="shared" si="41"/>
        <v>Medium</v>
      </c>
      <c r="P865" t="str">
        <f>_xlfn.XLOOKUP(Table1[[#This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Robasta</v>
      </c>
      <c r="O866" t="str">
        <f t="shared" si="41"/>
        <v>Large</v>
      </c>
      <c r="P866" t="str">
        <f>_xlfn.XLOOKUP(Table1[[#This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_xlfn.XLOOKUP(Table1[[#This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_xlfn.XLOOKUP(Table1[[#This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Large</v>
      </c>
      <c r="P869" t="str">
        <f>_xlfn.XLOOKUP(Table1[[#This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_xlfn.XLOOKUP(Table1[[#This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Robasta</v>
      </c>
      <c r="O871" t="str">
        <f t="shared" si="41"/>
        <v>Medium</v>
      </c>
      <c r="P871" t="str">
        <f>_xlfn.XLOOKUP(Table1[[#This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_xlfn.XLOOKUP(Table1[[#This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Large</v>
      </c>
      <c r="P873" t="str">
        <f>_xlfn.XLOOKUP(Table1[[#This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_xlfn.XLOOKUP(Table1[[#This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Robasta</v>
      </c>
      <c r="O875" t="str">
        <f t="shared" si="41"/>
        <v>Medium</v>
      </c>
      <c r="P875" t="str">
        <f>_xlfn.XLOOKUP(Table1[[#This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Large</v>
      </c>
      <c r="P876" t="str">
        <f>_xlfn.XLOOKUP(Table1[[#This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Librica</v>
      </c>
      <c r="O877" t="str">
        <f t="shared" si="41"/>
        <v>Medium</v>
      </c>
      <c r="P877" t="str">
        <f>_xlfn.XLOOKUP(Table1[[#This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Large</v>
      </c>
      <c r="P878" t="str">
        <f>_xlfn.XLOOKUP(Table1[[#This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Librica</v>
      </c>
      <c r="O879" t="str">
        <f t="shared" si="41"/>
        <v>Large</v>
      </c>
      <c r="P879" t="str">
        <f>_xlfn.XLOOKUP(Table1[[#This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Robasta</v>
      </c>
      <c r="O880" t="str">
        <f t="shared" si="41"/>
        <v>Large</v>
      </c>
      <c r="P880" t="str">
        <f>_xlfn.XLOOKUP(Table1[[#This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_xlfn.XLOOKUP(Table1[[#This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Robasta</v>
      </c>
      <c r="O882" t="str">
        <f t="shared" si="41"/>
        <v>Large</v>
      </c>
      <c r="P882" t="str">
        <f>_xlfn.XLOOKUP(Table1[[#This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Large</v>
      </c>
      <c r="P883" t="str">
        <f>_xlfn.XLOOKUP(Table1[[#This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_xlfn.XLOOKUP(Table1[[#This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_xlfn.XLOOKUP(Table1[[#This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Robasta</v>
      </c>
      <c r="O886" t="str">
        <f t="shared" si="41"/>
        <v>Dark</v>
      </c>
      <c r="P886" t="str">
        <f>_xlfn.XLOOKUP(Table1[[#This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Robasta</v>
      </c>
      <c r="O887" t="str">
        <f t="shared" si="41"/>
        <v>Dark</v>
      </c>
      <c r="P887" t="str">
        <f>_xlfn.XLOOKUP(Table1[[#This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Librica</v>
      </c>
      <c r="O888" t="str">
        <f t="shared" si="41"/>
        <v>Medium</v>
      </c>
      <c r="P888" t="str">
        <f>_xlfn.XLOOKUP(Table1[[#This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Large</v>
      </c>
      <c r="P889" t="str">
        <f>_xlfn.XLOOKUP(Table1[[#This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Large</v>
      </c>
      <c r="P890" t="str">
        <f>_xlfn.XLOOKUP(Table1[[#This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Robasta</v>
      </c>
      <c r="O891" t="str">
        <f t="shared" si="41"/>
        <v>Dark</v>
      </c>
      <c r="P891" t="str">
        <f>_xlfn.XLOOKUP(Table1[[#This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Robasta</v>
      </c>
      <c r="O892" t="str">
        <f t="shared" si="41"/>
        <v>Dark</v>
      </c>
      <c r="P892" t="str">
        <f>_xlfn.XLOOKUP(Table1[[#This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_xlfn.XLOOKUP(Table1[[#This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_xlfn.XLOOKUP(Table1[[#This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Librica</v>
      </c>
      <c r="O895" t="str">
        <f t="shared" si="41"/>
        <v>Large</v>
      </c>
      <c r="P895" t="str">
        <f>_xlfn.XLOOKUP(Table1[[#This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Robasta</v>
      </c>
      <c r="O896" t="str">
        <f t="shared" si="41"/>
        <v>Dark</v>
      </c>
      <c r="P896" t="str">
        <f>_xlfn.XLOOKUP(Table1[[#This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_xlfn.XLOOKUP(Table1[[#This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39"/>
        <v>32.22</v>
      </c>
      <c r="N898" t="str">
        <f t="shared" si="40"/>
        <v>Robasta</v>
      </c>
      <c r="O898" t="str">
        <f t="shared" si="41"/>
        <v>Dark</v>
      </c>
      <c r="P898" t="str">
        <f>_xlfn.XLOOKUP(Table1[[#This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IF(I899="Rob","Robasta",IF(I899="Exc","Excelsa",IF(I899="Ara","Arabica",IF(I899="Lib","Librica",""))))</f>
        <v>Excelsa</v>
      </c>
      <c r="O899" t="str">
        <f t="shared" ref="O899:O962" si="44">IF(J899="M","Medium",IF(J899="L","Large",IF(J899="S","Small",IF(J899="D","Dark",""))))</f>
        <v>Dark</v>
      </c>
      <c r="P899" t="str">
        <f>_xlfn.XLOOKUP(Table1[[#This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Robasta</v>
      </c>
      <c r="O900" t="str">
        <f t="shared" si="44"/>
        <v>Large</v>
      </c>
      <c r="P900" t="str">
        <f>_xlfn.XLOOKUP(Table1[[#This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Librica</v>
      </c>
      <c r="O901" t="str">
        <f t="shared" si="44"/>
        <v>Medium</v>
      </c>
      <c r="P901" t="str">
        <f>_xlfn.XLOOKUP(Table1[[#This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Librica</v>
      </c>
      <c r="O902" t="str">
        <f t="shared" si="44"/>
        <v>Large</v>
      </c>
      <c r="P902" t="str">
        <f>_xlfn.XLOOKUP(Table1[[#This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Robasta</v>
      </c>
      <c r="O903" t="str">
        <f t="shared" si="44"/>
        <v>Large</v>
      </c>
      <c r="P903" t="str">
        <f>_xlfn.XLOOKUP(Table1[[#This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_xlfn.XLOOKUP(Table1[[#This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Librica</v>
      </c>
      <c r="O905" t="str">
        <f t="shared" si="44"/>
        <v>Medium</v>
      </c>
      <c r="P905" t="str">
        <f>_xlfn.XLOOKUP(Table1[[#This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Large</v>
      </c>
      <c r="P906" t="str">
        <f>_xlfn.XLOOKUP(Table1[[#This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_xlfn.XLOOKUP(Table1[[#This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_xlfn.XLOOKUP(Table1[[#This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Librica</v>
      </c>
      <c r="O909" t="str">
        <f t="shared" si="44"/>
        <v>Dark</v>
      </c>
      <c r="P909" t="str">
        <f>_xlfn.XLOOKUP(Table1[[#This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Robasta</v>
      </c>
      <c r="O910" t="str">
        <f t="shared" si="44"/>
        <v>Large</v>
      </c>
      <c r="P910" t="str">
        <f>_xlfn.XLOOKUP(Table1[[#This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Robasta</v>
      </c>
      <c r="O911" t="str">
        <f t="shared" si="44"/>
        <v>Large</v>
      </c>
      <c r="P911" t="str">
        <f>_xlfn.XLOOKUP(Table1[[#This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_xlfn.XLOOKUP(Table1[[#This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_xlfn.XLOOKUP(Table1[[#This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Robasta</v>
      </c>
      <c r="O914" t="str">
        <f t="shared" si="44"/>
        <v>Medium</v>
      </c>
      <c r="P914" t="str">
        <f>_xlfn.XLOOKUP(Table1[[#This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_xlfn.XLOOKUP(Table1[[#This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_xlfn.XLOOKUP(Table1[[#This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_xlfn.XLOOKUP(Table1[[#This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_xlfn.XLOOKUP(Table1[[#This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_xlfn.XLOOKUP(Table1[[#This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_xlfn.XLOOKUP(Table1[[#This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Robasta</v>
      </c>
      <c r="O921" t="str">
        <f t="shared" si="44"/>
        <v>Dark</v>
      </c>
      <c r="P921" t="str">
        <f>_xlfn.XLOOKUP(Table1[[#This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Robasta</v>
      </c>
      <c r="O922" t="str">
        <f t="shared" si="44"/>
        <v>Dark</v>
      </c>
      <c r="P922" t="str">
        <f>_xlfn.XLOOKUP(Table1[[#This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Librica</v>
      </c>
      <c r="O923" t="str">
        <f t="shared" si="44"/>
        <v>Dark</v>
      </c>
      <c r="P923" t="str">
        <f>_xlfn.XLOOKUP(Table1[[#This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_xlfn.XLOOKUP(Table1[[#This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_xlfn.XLOOKUP(Table1[[#This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Large</v>
      </c>
      <c r="P926" t="str">
        <f>_xlfn.XLOOKUP(Table1[[#This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_xlfn.XLOOKUP(Table1[[#This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_xlfn.XLOOKUP(Table1[[#This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_xlfn.XLOOKUP(Table1[[#This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_xlfn.XLOOKUP(Table1[[#This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Large</v>
      </c>
      <c r="P931" t="str">
        <f>_xlfn.XLOOKUP(Table1[[#This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_xlfn.XLOOKUP(Table1[[#This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_xlfn.XLOOKUP(Table1[[#This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_xlfn.XLOOKUP(Table1[[#This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Robasta</v>
      </c>
      <c r="O935" t="str">
        <f t="shared" si="44"/>
        <v>Dark</v>
      </c>
      <c r="P935" t="str">
        <f>_xlfn.XLOOKUP(Table1[[#This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Robasta</v>
      </c>
      <c r="O936" t="str">
        <f t="shared" si="44"/>
        <v>Medium</v>
      </c>
      <c r="P936" t="str">
        <f>_xlfn.XLOOKUP(Table1[[#This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_xlfn.XLOOKUP(Table1[[#This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Librica</v>
      </c>
      <c r="O938" t="str">
        <f t="shared" si="44"/>
        <v>Dark</v>
      </c>
      <c r="P938" t="str">
        <f>_xlfn.XLOOKUP(Table1[[#This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Robasta</v>
      </c>
      <c r="O939" t="str">
        <f t="shared" si="44"/>
        <v>Medium</v>
      </c>
      <c r="P939" t="str">
        <f>_xlfn.XLOOKUP(Table1[[#This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Large</v>
      </c>
      <c r="P940" t="str">
        <f>_xlfn.XLOOKUP(Table1[[#This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Librica</v>
      </c>
      <c r="O941" t="str">
        <f t="shared" si="44"/>
        <v>Large</v>
      </c>
      <c r="P941" t="str">
        <f>_xlfn.XLOOKUP(Table1[[#This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Robasta</v>
      </c>
      <c r="O942" t="str">
        <f t="shared" si="44"/>
        <v>Large</v>
      </c>
      <c r="P942" t="str">
        <f>_xlfn.XLOOKUP(Table1[[#This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Large</v>
      </c>
      <c r="P943" t="str">
        <f>_xlfn.XLOOKUP(Table1[[#This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Robasta</v>
      </c>
      <c r="O944" t="str">
        <f t="shared" si="44"/>
        <v>Large</v>
      </c>
      <c r="P944" t="str">
        <f>_xlfn.XLOOKUP(Table1[[#This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Large</v>
      </c>
      <c r="P945" t="str">
        <f>_xlfn.XLOOKUP(Table1[[#This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Robasta</v>
      </c>
      <c r="O946" t="str">
        <f t="shared" si="44"/>
        <v>Large</v>
      </c>
      <c r="P946" t="str">
        <f>_xlfn.XLOOKUP(Table1[[#This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Librica</v>
      </c>
      <c r="O947" t="str">
        <f t="shared" si="44"/>
        <v>Dark</v>
      </c>
      <c r="P947" t="str">
        <f>_xlfn.XLOOKUP(Table1[[#This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Librica</v>
      </c>
      <c r="O948" t="str">
        <f t="shared" si="44"/>
        <v>Dark</v>
      </c>
      <c r="P948" t="str">
        <f>_xlfn.XLOOKUP(Table1[[#This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_xlfn.XLOOKUP(Table1[[#This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_xlfn.XLOOKUP(Table1[[#This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Robasta</v>
      </c>
      <c r="O951" t="str">
        <f t="shared" si="44"/>
        <v>Large</v>
      </c>
      <c r="P951" t="str">
        <f>_xlfn.XLOOKUP(Table1[[#This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Robasta</v>
      </c>
      <c r="O952" t="str">
        <f t="shared" si="44"/>
        <v>Large</v>
      </c>
      <c r="P952" t="str">
        <f>_xlfn.XLOOKUP(Table1[[#This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Robasta</v>
      </c>
      <c r="O953" t="str">
        <f t="shared" si="44"/>
        <v>Large</v>
      </c>
      <c r="P953" t="str">
        <f>_xlfn.XLOOKUP(Table1[[#This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_xlfn.XLOOKUP(Table1[[#This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Large</v>
      </c>
      <c r="P955" t="str">
        <f>_xlfn.XLOOKUP(Table1[[#This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_xlfn.XLOOKUP(Table1[[#This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Large</v>
      </c>
      <c r="P957" t="str">
        <f>_xlfn.XLOOKUP(Table1[[#This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Robasta</v>
      </c>
      <c r="O958" t="str">
        <f t="shared" si="44"/>
        <v>Large</v>
      </c>
      <c r="P958" t="str">
        <f>_xlfn.XLOOKUP(Table1[[#This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Large</v>
      </c>
      <c r="P959" t="str">
        <f>_xlfn.XLOOKUP(Table1[[#This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Large</v>
      </c>
      <c r="P960" t="str">
        <f>_xlfn.XLOOKUP(Table1[[#This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Librica</v>
      </c>
      <c r="O961" t="str">
        <f t="shared" si="44"/>
        <v>Large</v>
      </c>
      <c r="P961" t="str">
        <f>_xlfn.XLOOKUP(Table1[[#This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42"/>
        <v>79.25</v>
      </c>
      <c r="N962" t="str">
        <f t="shared" si="43"/>
        <v>Librica</v>
      </c>
      <c r="O962" t="str">
        <f t="shared" si="44"/>
        <v>Large</v>
      </c>
      <c r="P962" t="str">
        <f>_xlfn.XLOOKUP(Table1[[#This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IF(I963="Rob","Robasta",IF(I963="Exc","Excelsa",IF(I963="Ara","Arabica",IF(I963="Lib","Librica",""))))</f>
        <v>Arabica</v>
      </c>
      <c r="O963" t="str">
        <f t="shared" ref="O963:O1001" si="47">IF(J963="M","Medium",IF(J963="L","Large",IF(J963="S","Small",IF(J963="D","Dark",""))))</f>
        <v>Dark</v>
      </c>
      <c r="P963" t="str">
        <f>_xlfn.XLOOKUP(Table1[[#This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Robasta</v>
      </c>
      <c r="O964" t="str">
        <f t="shared" si="47"/>
        <v>Dark</v>
      </c>
      <c r="P964" t="str">
        <f>_xlfn.XLOOKUP(Table1[[#This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Robasta</v>
      </c>
      <c r="O965" t="str">
        <f t="shared" si="47"/>
        <v>Medium</v>
      </c>
      <c r="P965" t="str">
        <f>_xlfn.XLOOKUP(Table1[[#This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Large</v>
      </c>
      <c r="P966" t="str">
        <f>_xlfn.XLOOKUP(Table1[[#This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Robasta</v>
      </c>
      <c r="O967" t="str">
        <f t="shared" si="47"/>
        <v>Medium</v>
      </c>
      <c r="P967" t="str">
        <f>_xlfn.XLOOKUP(Table1[[#This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Large</v>
      </c>
      <c r="P968" t="str">
        <f>_xlfn.XLOOKUP(Table1[[#This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Robasta</v>
      </c>
      <c r="O969" t="str">
        <f t="shared" si="47"/>
        <v>Dark</v>
      </c>
      <c r="P969" t="str">
        <f>_xlfn.XLOOKUP(Table1[[#This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Robasta</v>
      </c>
      <c r="O970" t="str">
        <f t="shared" si="47"/>
        <v>Medium</v>
      </c>
      <c r="P970" t="str">
        <f>_xlfn.XLOOKUP(Table1[[#This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Librica</v>
      </c>
      <c r="O971" t="str">
        <f t="shared" si="47"/>
        <v>Dark</v>
      </c>
      <c r="P971" t="str">
        <f>_xlfn.XLOOKUP(Table1[[#This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_xlfn.XLOOKUP(Table1[[#This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Large</v>
      </c>
      <c r="P973" t="str">
        <f>_xlfn.XLOOKUP(Table1[[#This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Large</v>
      </c>
      <c r="P974" t="str">
        <f>_xlfn.XLOOKUP(Table1[[#This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Librica</v>
      </c>
      <c r="O975" t="str">
        <f t="shared" si="47"/>
        <v>Medium</v>
      </c>
      <c r="P975" t="str">
        <f>_xlfn.XLOOKUP(Table1[[#This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Robasta</v>
      </c>
      <c r="O976" t="str">
        <f t="shared" si="47"/>
        <v>Dark</v>
      </c>
      <c r="P976" t="str">
        <f>_xlfn.XLOOKUP(Table1[[#This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_xlfn.XLOOKUP(Table1[[#This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Robasta</v>
      </c>
      <c r="O978" t="str">
        <f t="shared" si="47"/>
        <v>Large</v>
      </c>
      <c r="P978" t="str">
        <f>_xlfn.XLOOKUP(Table1[[#This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Robasta</v>
      </c>
      <c r="O979" t="str">
        <f t="shared" si="47"/>
        <v>Large</v>
      </c>
      <c r="P979" t="str">
        <f>_xlfn.XLOOKUP(Table1[[#This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Large</v>
      </c>
      <c r="P980" t="str">
        <f>_xlfn.XLOOKUP(Table1[[#This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Robasta</v>
      </c>
      <c r="O981" t="str">
        <f t="shared" si="47"/>
        <v>Dark</v>
      </c>
      <c r="P981" t="str">
        <f>_xlfn.XLOOKUP(Table1[[#This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_xlfn.XLOOKUP(Table1[[#This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_xlfn.XLOOKUP(Table1[[#This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Robasta</v>
      </c>
      <c r="O984" t="str">
        <f t="shared" si="47"/>
        <v>Large</v>
      </c>
      <c r="P984" t="str">
        <f>_xlfn.XLOOKUP(Table1[[#This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_xlfn.XLOOKUP(Table1[[#This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_xlfn.XLOOKUP(Table1[[#This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Robasta</v>
      </c>
      <c r="O987" t="str">
        <f t="shared" si="47"/>
        <v>Large</v>
      </c>
      <c r="P987" t="str">
        <f>_xlfn.XLOOKUP(Table1[[#This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Librica</v>
      </c>
      <c r="O988" t="str">
        <f t="shared" si="47"/>
        <v>Medium</v>
      </c>
      <c r="P988" t="str">
        <f>_xlfn.XLOOKUP(Table1[[#This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_xlfn.XLOOKUP(Table1[[#This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Robasta</v>
      </c>
      <c r="O990" t="str">
        <f t="shared" si="47"/>
        <v>Medium</v>
      </c>
      <c r="P990" t="str">
        <f>_xlfn.XLOOKUP(Table1[[#This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_xlfn.XLOOKUP(Table1[[#This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_xlfn.XLOOKUP(Table1[[#This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Librica</v>
      </c>
      <c r="O993" t="str">
        <f t="shared" si="47"/>
        <v>Dark</v>
      </c>
      <c r="P993" t="str">
        <f>_xlfn.XLOOKUP(Table1[[#This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Librica</v>
      </c>
      <c r="O994" t="str">
        <f t="shared" si="47"/>
        <v>Large</v>
      </c>
      <c r="P994" t="str">
        <f>_xlfn.XLOOKUP(Table1[[#This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Large</v>
      </c>
      <c r="P995" t="str">
        <f>_xlfn.XLOOKUP(Table1[[#This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_xlfn.XLOOKUP(Table1[[#This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Robasta</v>
      </c>
      <c r="O997" t="str">
        <f t="shared" si="47"/>
        <v>Large</v>
      </c>
      <c r="P997" t="str">
        <f>_xlfn.XLOOKUP(Table1[[#This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Robasta</v>
      </c>
      <c r="O998" t="str">
        <f t="shared" si="47"/>
        <v>Medium</v>
      </c>
      <c r="P998" t="str">
        <f>_xlfn.XLOOKUP(Table1[[#This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_xlfn.XLOOKUP(Table1[[#This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_xlfn.XLOOKUP(Table1[[#This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3"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mahy.allaa999@gmail.com</cp:lastModifiedBy>
  <cp:revision/>
  <dcterms:created xsi:type="dcterms:W3CDTF">2022-11-26T09:51:45Z</dcterms:created>
  <dcterms:modified xsi:type="dcterms:W3CDTF">2026-09-08T00:41:47Z</dcterms:modified>
  <cp:category/>
  <cp:contentStatus/>
</cp:coreProperties>
</file>